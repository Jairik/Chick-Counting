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" sheetId="1" state="visible" r:id="rId1"/>
    <sheet xmlns:r="http://schemas.openxmlformats.org/officeDocument/2006/relationships" name="conjoin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main_id</t>
        </is>
      </c>
      <c r="C1" s="1" t="inlineStr">
        <is>
          <t>area</t>
        </is>
      </c>
      <c r="D1" s="1" t="inlineStr">
        <is>
          <t>weighted_ct</t>
        </is>
      </c>
      <c r="E1" s="1" t="inlineStr">
        <is>
          <t>snapshot_link</t>
        </is>
      </c>
    </row>
    <row r="2">
      <c r="A2" t="n">
        <v>9</v>
      </c>
      <c r="B2" t="n">
        <v>2</v>
      </c>
      <c r="C2" t="n">
        <v>58752</v>
      </c>
      <c r="D2" t="n">
        <v>1</v>
      </c>
      <c r="E2">
        <f>HYPERLINK("file:///C:/Users/anye forti/Desktop/2025 FALL/426 COSC/YOLO_TESTING/bbox-snapshots/frame00009_id2.png", "frame00009_id2.png")</f>
        <v/>
      </c>
    </row>
    <row r="3">
      <c r="A3" t="n">
        <v>13</v>
      </c>
      <c r="B3" t="n">
        <v>3</v>
      </c>
      <c r="C3" t="n">
        <v>72570</v>
      </c>
      <c r="D3" t="n">
        <v>2</v>
      </c>
      <c r="E3">
        <f>HYPERLINK("file:///C:/Users/anye forti/Desktop/2025 FALL/426 COSC/YOLO_TESTING/bbox-snapshots/frame00013_id3.png", "frame00013_id3.png")</f>
        <v/>
      </c>
    </row>
    <row r="4">
      <c r="A4" t="n">
        <v>17</v>
      </c>
      <c r="B4" t="n">
        <v>4</v>
      </c>
      <c r="C4" t="n">
        <v>44010</v>
      </c>
      <c r="D4" t="n">
        <v>1</v>
      </c>
      <c r="E4">
        <f>HYPERLINK("file:///C:/Users/anye forti/Desktop/2025 FALL/426 COSC/YOLO_TESTING/bbox-snapshots/frame00017_id4.png", "frame00017_id4.png")</f>
        <v/>
      </c>
    </row>
    <row r="5">
      <c r="A5" t="n">
        <v>43</v>
      </c>
      <c r="B5" t="n">
        <v>52</v>
      </c>
      <c r="C5" t="n">
        <v>61152</v>
      </c>
      <c r="D5" t="n">
        <v>2</v>
      </c>
      <c r="E5">
        <f>HYPERLINK("file:///C:/Users/anye forti/Desktop/2025 FALL/426 COSC/YOLO_TESTING/bbox-snapshots/frame00043_id52.png", "frame00043_id52.png")</f>
        <v/>
      </c>
    </row>
    <row r="6">
      <c r="A6" t="n">
        <v>56</v>
      </c>
      <c r="B6" t="n">
        <v>25</v>
      </c>
      <c r="C6" t="n">
        <v>57106</v>
      </c>
      <c r="D6" t="n">
        <v>1</v>
      </c>
      <c r="E6">
        <f>HYPERLINK("file:///C:/Users/anye forti/Desktop/2025 FALL/426 COSC/YOLO_TESTING/bbox-snapshots/frame00056_id25.png", "frame00056_id25.png")</f>
        <v/>
      </c>
    </row>
    <row r="7">
      <c r="A7" t="n">
        <v>59</v>
      </c>
      <c r="B7" t="n">
        <v>63</v>
      </c>
      <c r="C7" t="n">
        <v>57232</v>
      </c>
      <c r="D7" t="n">
        <v>1</v>
      </c>
      <c r="E7">
        <f>HYPERLINK("file:///C:/Users/anye forti/Desktop/2025 FALL/426 COSC/YOLO_TESTING/bbox-snapshots/frame00059_id63.png", "frame00059_id63.png")</f>
        <v/>
      </c>
    </row>
    <row r="8">
      <c r="A8" t="n">
        <v>64</v>
      </c>
      <c r="B8" t="n">
        <v>105</v>
      </c>
      <c r="C8" t="n">
        <v>23393</v>
      </c>
      <c r="D8" t="n">
        <v>1</v>
      </c>
      <c r="E8">
        <f>HYPERLINK("file:///C:/Users/anye forti/Desktop/2025 FALL/426 COSC/YOLO_TESTING/bbox-snapshots/frame00064_id105.png", "frame00064_id105.png")</f>
        <v/>
      </c>
    </row>
    <row r="9">
      <c r="A9" t="n">
        <v>67</v>
      </c>
      <c r="B9" t="n">
        <v>102</v>
      </c>
      <c r="C9" t="n">
        <v>28392</v>
      </c>
      <c r="D9" t="n">
        <v>1</v>
      </c>
      <c r="E9">
        <f>HYPERLINK("file:///C:/Users/anye forti/Desktop/2025 FALL/426 COSC/YOLO_TESTING/bbox-snapshots/frame00067_id102.png", "frame00067_id102.png")</f>
        <v/>
      </c>
    </row>
    <row r="10">
      <c r="A10" t="n">
        <v>75</v>
      </c>
      <c r="B10" t="n">
        <v>113</v>
      </c>
      <c r="C10" t="n">
        <v>40035</v>
      </c>
      <c r="D10" t="n">
        <v>1</v>
      </c>
      <c r="E10">
        <f>HYPERLINK("file:///C:/Users/anye forti/Desktop/2025 FALL/426 COSC/YOLO_TESTING/bbox-snapshots/frame00075_id113.png", "frame00075_id113.png")</f>
        <v/>
      </c>
    </row>
    <row r="11">
      <c r="A11" t="n">
        <v>78</v>
      </c>
      <c r="B11" t="n">
        <v>121</v>
      </c>
      <c r="C11" t="n">
        <v>57043</v>
      </c>
      <c r="D11" t="n">
        <v>1</v>
      </c>
      <c r="E11">
        <f>HYPERLINK("file:///C:/Users/anye forti/Desktop/2025 FALL/426 COSC/YOLO_TESTING/bbox-snapshots/frame00078_id121.png", "frame00078_id121.png")</f>
        <v/>
      </c>
    </row>
    <row r="12">
      <c r="A12" t="n">
        <v>90</v>
      </c>
      <c r="B12" t="n">
        <v>134</v>
      </c>
      <c r="C12" t="n">
        <v>38376</v>
      </c>
      <c r="D12" t="n">
        <v>1</v>
      </c>
      <c r="E12">
        <f>HYPERLINK("file:///C:/Users/anye forti/Desktop/2025 FALL/426 COSC/YOLO_TESTING/bbox-snapshots/frame00090_id134.png", "frame00090_id134.png")</f>
        <v/>
      </c>
    </row>
    <row r="13">
      <c r="A13" t="n">
        <v>91</v>
      </c>
      <c r="B13" t="n">
        <v>154</v>
      </c>
      <c r="C13" t="n">
        <v>29952</v>
      </c>
      <c r="D13" t="n">
        <v>1</v>
      </c>
      <c r="E13">
        <f>HYPERLINK("file:///C:/Users/anye forti/Desktop/2025 FALL/426 COSC/YOLO_TESTING/bbox-snapshots/frame00091_id154.png", "frame00091_id154.png")</f>
        <v/>
      </c>
    </row>
    <row r="14">
      <c r="A14" t="n">
        <v>93</v>
      </c>
      <c r="B14" t="n">
        <v>152</v>
      </c>
      <c r="C14" t="n">
        <v>58788</v>
      </c>
      <c r="D14" t="n">
        <v>1</v>
      </c>
      <c r="E14">
        <f>HYPERLINK("file:///C:/Users/anye forti/Desktop/2025 FALL/426 COSC/YOLO_TESTING/bbox-snapshots/frame00093_id152.png", "frame00093_id152.png")</f>
        <v/>
      </c>
    </row>
    <row r="15">
      <c r="A15" t="n">
        <v>113</v>
      </c>
      <c r="B15" t="n">
        <v>173</v>
      </c>
      <c r="C15" t="n">
        <v>89056</v>
      </c>
      <c r="D15" t="n">
        <v>2</v>
      </c>
      <c r="E15">
        <f>HYPERLINK("file:///C:/Users/anye forti/Desktop/2025 FALL/426 COSC/YOLO_TESTING/bbox-snapshots/frame00113_id173.png", "frame00113_id173.png")</f>
        <v/>
      </c>
    </row>
    <row r="16">
      <c r="A16" t="n">
        <v>113</v>
      </c>
      <c r="B16" t="n">
        <v>184</v>
      </c>
      <c r="C16" t="n">
        <v>48230</v>
      </c>
      <c r="D16" t="n">
        <v>1</v>
      </c>
      <c r="E16">
        <f>HYPERLINK("file:///C:/Users/anye forti/Desktop/2025 FALL/426 COSC/YOLO_TESTING/bbox-snapshots/frame00113_id184.png", "frame00113_id184.png")</f>
        <v/>
      </c>
    </row>
    <row r="17">
      <c r="A17" t="n">
        <v>125</v>
      </c>
      <c r="B17" t="n">
        <v>199</v>
      </c>
      <c r="C17" t="n">
        <v>46604</v>
      </c>
      <c r="D17" t="n">
        <v>1</v>
      </c>
      <c r="E17">
        <f>HYPERLINK("file:///C:/Users/anye forti/Desktop/2025 FALL/426 COSC/YOLO_TESTING/bbox-snapshots/frame00125_id199.png", "frame00125_id199.png")</f>
        <v/>
      </c>
    </row>
    <row r="18">
      <c r="A18" t="n">
        <v>125</v>
      </c>
      <c r="B18" t="n">
        <v>158</v>
      </c>
      <c r="C18" t="n">
        <v>24692</v>
      </c>
      <c r="D18" t="n">
        <v>1</v>
      </c>
      <c r="E18">
        <f>HYPERLINK("file:///C:/Users/anye forti/Desktop/2025 FALL/426 COSC/YOLO_TESTING/bbox-snapshots/frame00125_id158.png", "frame00125_id158.png")</f>
        <v/>
      </c>
    </row>
    <row r="19">
      <c r="A19" t="n">
        <v>154</v>
      </c>
      <c r="B19" t="n">
        <v>238</v>
      </c>
      <c r="C19" t="n">
        <v>51192</v>
      </c>
      <c r="D19" t="n">
        <v>1</v>
      </c>
      <c r="E19">
        <f>HYPERLINK("file:///C:/Users/anye forti/Desktop/2025 FALL/426 COSC/YOLO_TESTING/bbox-snapshots/frame00154_id238.png", "frame00154_id238.png")</f>
        <v/>
      </c>
    </row>
    <row r="20">
      <c r="A20" t="n">
        <v>159</v>
      </c>
      <c r="B20" t="n">
        <v>246</v>
      </c>
      <c r="C20" t="n">
        <v>52452</v>
      </c>
      <c r="D20" t="n">
        <v>1</v>
      </c>
      <c r="E20">
        <f>HYPERLINK("file:///C:/Users/anye forti/Desktop/2025 FALL/426 COSC/YOLO_TESTING/bbox-snapshots/frame00159_id246.png", "frame00159_id246.png")</f>
        <v/>
      </c>
    </row>
    <row r="21">
      <c r="A21" t="n">
        <v>163</v>
      </c>
      <c r="B21" t="n">
        <v>255</v>
      </c>
      <c r="C21" t="n">
        <v>54530</v>
      </c>
      <c r="D21" t="n">
        <v>1</v>
      </c>
      <c r="E21">
        <f>HYPERLINK("file:///C:/Users/anye forti/Desktop/2025 FALL/426 COSC/YOLO_TESTING/bbox-snapshots/frame00163_id255.png", "frame00163_id255.png")</f>
        <v/>
      </c>
    </row>
    <row r="22">
      <c r="A22" t="n">
        <v>173</v>
      </c>
      <c r="B22" t="n">
        <v>292</v>
      </c>
      <c r="C22" t="n">
        <v>67072</v>
      </c>
      <c r="D22" t="n">
        <v>2</v>
      </c>
      <c r="E22">
        <f>HYPERLINK("file:///C:/Users/anye forti/Desktop/2025 FALL/426 COSC/YOLO_TESTING/bbox-snapshots/frame00173_id292.png", "frame00173_id292.png")</f>
        <v/>
      </c>
    </row>
    <row r="23">
      <c r="A23" t="n">
        <v>182</v>
      </c>
      <c r="B23" t="n">
        <v>298</v>
      </c>
      <c r="C23" t="n">
        <v>65210</v>
      </c>
      <c r="D23" t="n">
        <v>2</v>
      </c>
      <c r="E23">
        <f>HYPERLINK("file:///C:/Users/anye forti/Desktop/2025 FALL/426 COSC/YOLO_TESTING/bbox-snapshots/frame00182_id298.png", "frame00182_id298.png")</f>
        <v/>
      </c>
    </row>
    <row r="24">
      <c r="A24" t="n">
        <v>192</v>
      </c>
      <c r="B24" t="n">
        <v>315</v>
      </c>
      <c r="C24" t="n">
        <v>51150</v>
      </c>
      <c r="D24" t="n">
        <v>1</v>
      </c>
      <c r="E24">
        <f>HYPERLINK("file:///C:/Users/anye forti/Desktop/2025 FALL/426 COSC/YOLO_TESTING/bbox-snapshots/frame00192_id315.png", "frame00192_id315.png")</f>
        <v/>
      </c>
    </row>
    <row r="25">
      <c r="A25" t="n">
        <v>214</v>
      </c>
      <c r="B25" t="n">
        <v>340</v>
      </c>
      <c r="C25" t="n">
        <v>45365</v>
      </c>
      <c r="D25" t="n">
        <v>1</v>
      </c>
      <c r="E25">
        <f>HYPERLINK("file:///C:/Users/anye forti/Desktop/2025 FALL/426 COSC/YOLO_TESTING/bbox-snapshots/frame00214_id340.png", "frame00214_id340.png")</f>
        <v/>
      </c>
    </row>
    <row r="26">
      <c r="A26" t="n">
        <v>230</v>
      </c>
      <c r="B26" t="n">
        <v>351</v>
      </c>
      <c r="C26" t="n">
        <v>49725</v>
      </c>
      <c r="D26" t="n">
        <v>1</v>
      </c>
      <c r="E26">
        <f>HYPERLINK("file:///C:/Users/anye forti/Desktop/2025 FALL/426 COSC/YOLO_TESTING/bbox-snapshots/frame00230_id351.png", "frame00230_id351.png")</f>
        <v/>
      </c>
    </row>
    <row r="27">
      <c r="A27" t="n">
        <v>253</v>
      </c>
      <c r="B27" t="n">
        <v>362</v>
      </c>
      <c r="C27" t="n">
        <v>49920</v>
      </c>
      <c r="D27" t="n">
        <v>1</v>
      </c>
      <c r="E27">
        <f>HYPERLINK("file:///C:/Users/anye forti/Desktop/2025 FALL/426 COSC/YOLO_TESTING/bbox-snapshots/frame00253_id362.png", "frame00253_id362.png")</f>
        <v/>
      </c>
    </row>
    <row r="28">
      <c r="A28" t="n">
        <v>260</v>
      </c>
      <c r="B28" t="n">
        <v>391</v>
      </c>
      <c r="C28" t="n">
        <v>47229</v>
      </c>
      <c r="D28" t="n">
        <v>1</v>
      </c>
      <c r="E28">
        <f>HYPERLINK("file:///C:/Users/anye forti/Desktop/2025 FALL/426 COSC/YOLO_TESTING/bbox-snapshots/frame00260_id391.png", "frame00260_id391.png")</f>
        <v/>
      </c>
    </row>
    <row r="29">
      <c r="A29" t="n">
        <v>262</v>
      </c>
      <c r="B29" t="n">
        <v>395</v>
      </c>
      <c r="C29" t="n">
        <v>34398</v>
      </c>
      <c r="D29" t="n">
        <v>1</v>
      </c>
      <c r="E29">
        <f>HYPERLINK("file:///C:/Users/anye forti/Desktop/2025 FALL/426 COSC/YOLO_TESTING/bbox-snapshots/frame00262_id395.png", "frame00262_id395.png")</f>
        <v/>
      </c>
    </row>
    <row r="30">
      <c r="A30" t="n">
        <v>270</v>
      </c>
      <c r="B30" t="n">
        <v>390</v>
      </c>
      <c r="C30" t="n">
        <v>55926</v>
      </c>
      <c r="D30" t="n">
        <v>1</v>
      </c>
      <c r="E30">
        <f>HYPERLINK("file:///C:/Users/anye forti/Desktop/2025 FALL/426 COSC/YOLO_TESTING/bbox-snapshots/frame00270_id390.png", "frame00270_id390.png")</f>
        <v/>
      </c>
    </row>
    <row r="31">
      <c r="A31" t="n">
        <v>283</v>
      </c>
      <c r="B31" t="n">
        <v>417</v>
      </c>
      <c r="C31" t="n">
        <v>52725</v>
      </c>
      <c r="D31" t="n">
        <v>1</v>
      </c>
      <c r="E31">
        <f>HYPERLINK("file:///C:/Users/anye forti/Desktop/2025 FALL/426 COSC/YOLO_TESTING/bbox-snapshots/frame00283_id417.png", "frame00283_id417.png")</f>
        <v/>
      </c>
    </row>
    <row r="32">
      <c r="A32" t="n">
        <v>296</v>
      </c>
      <c r="B32" t="n">
        <v>445</v>
      </c>
      <c r="C32" t="n">
        <v>36248</v>
      </c>
      <c r="D32" t="n">
        <v>1</v>
      </c>
      <c r="E32">
        <f>HYPERLINK("file:///C:/Users/anye forti/Desktop/2025 FALL/426 COSC/YOLO_TESTING/bbox-snapshots/frame00296_id445.png", "frame00296_id445.png")</f>
        <v/>
      </c>
    </row>
    <row r="33">
      <c r="A33" t="n">
        <v>296</v>
      </c>
      <c r="B33" t="n">
        <v>453</v>
      </c>
      <c r="C33" t="n">
        <v>57456</v>
      </c>
      <c r="D33" t="n">
        <v>1</v>
      </c>
      <c r="E33">
        <f>HYPERLINK("file:///C:/Users/anye forti/Desktop/2025 FALL/426 COSC/YOLO_TESTING/bbox-snapshots/frame00296_id453.png", "frame00296_id453.png")</f>
        <v/>
      </c>
    </row>
    <row r="34">
      <c r="A34" t="n">
        <v>300</v>
      </c>
      <c r="B34" t="n">
        <v>469</v>
      </c>
      <c r="C34" t="n">
        <v>28336</v>
      </c>
      <c r="D34" t="n">
        <v>1</v>
      </c>
      <c r="E34">
        <f>HYPERLINK("file:///C:/Users/anye forti/Desktop/2025 FALL/426 COSC/YOLO_TESTING/bbox-snapshots/frame00300_id469.png", "frame00300_id469.png")</f>
        <v/>
      </c>
    </row>
    <row r="35">
      <c r="A35" t="n">
        <v>305</v>
      </c>
      <c r="B35" t="n">
        <v>471</v>
      </c>
      <c r="C35" t="n">
        <v>56648</v>
      </c>
      <c r="D35" t="n">
        <v>1</v>
      </c>
      <c r="E35">
        <f>HYPERLINK("file:///C:/Users/anye forti/Desktop/2025 FALL/426 COSC/YOLO_TESTING/bbox-snapshots/frame00305_id471.png", "frame00305_id471.png")</f>
        <v/>
      </c>
    </row>
    <row r="36">
      <c r="A36" t="n">
        <v>329</v>
      </c>
      <c r="B36" t="n">
        <v>503</v>
      </c>
      <c r="C36" t="n">
        <v>38916</v>
      </c>
      <c r="D36" t="n">
        <v>1</v>
      </c>
      <c r="E36">
        <f>HYPERLINK("file:///C:/Users/anye forti/Desktop/2025 FALL/426 COSC/YOLO_TESTING/bbox-snapshots/frame00329_id503.png", "frame00329_id503.png")</f>
        <v/>
      </c>
    </row>
    <row r="37">
      <c r="A37" t="n">
        <v>331</v>
      </c>
      <c r="B37" t="n">
        <v>490</v>
      </c>
      <c r="C37" t="n">
        <v>75348</v>
      </c>
      <c r="D37" t="n">
        <v>2</v>
      </c>
      <c r="E37">
        <f>HYPERLINK("file:///C:/Users/anye forti/Desktop/2025 FALL/426 COSC/YOLO_TESTING/bbox-snapshots/frame00331_id490.png", "frame00331_id490.png")</f>
        <v/>
      </c>
    </row>
    <row r="38">
      <c r="A38" t="n">
        <v>334</v>
      </c>
      <c r="B38" t="n">
        <v>525</v>
      </c>
      <c r="C38" t="n">
        <v>48114</v>
      </c>
      <c r="D38" t="n">
        <v>1</v>
      </c>
      <c r="E38">
        <f>HYPERLINK("file:///C:/Users/anye forti/Desktop/2025 FALL/426 COSC/YOLO_TESTING/bbox-snapshots/frame00334_id525.png", "frame00334_id525.png")</f>
        <v/>
      </c>
    </row>
    <row r="39">
      <c r="A39" t="n">
        <v>343</v>
      </c>
      <c r="B39" t="n">
        <v>530</v>
      </c>
      <c r="C39" t="n">
        <v>53075</v>
      </c>
      <c r="D39" t="n">
        <v>1</v>
      </c>
      <c r="E39">
        <f>HYPERLINK("file:///C:/Users/anye forti/Desktop/2025 FALL/426 COSC/YOLO_TESTING/bbox-snapshots/frame00343_id530.png", "frame00343_id530.png")</f>
        <v/>
      </c>
    </row>
    <row r="40">
      <c r="A40" t="n">
        <v>352</v>
      </c>
      <c r="B40" t="n">
        <v>544</v>
      </c>
      <c r="C40" t="n">
        <v>65084</v>
      </c>
      <c r="D40" t="n">
        <v>2</v>
      </c>
      <c r="E40">
        <f>HYPERLINK("file:///C:/Users/anye forti/Desktop/2025 FALL/426 COSC/YOLO_TESTING/bbox-snapshots/frame00352_id544.png", "frame00352_id544.png")</f>
        <v/>
      </c>
    </row>
    <row r="41">
      <c r="A41" t="n">
        <v>361</v>
      </c>
      <c r="B41" t="n">
        <v>574</v>
      </c>
      <c r="C41" t="n">
        <v>37450</v>
      </c>
      <c r="D41" t="n">
        <v>1</v>
      </c>
      <c r="E41">
        <f>HYPERLINK("file:///C:/Users/anye forti/Desktop/2025 FALL/426 COSC/YOLO_TESTING/bbox-snapshots/frame00361_id574.png", "frame00361_id574.png")</f>
        <v/>
      </c>
    </row>
    <row r="42">
      <c r="A42" t="n">
        <v>368</v>
      </c>
      <c r="B42" t="n">
        <v>582</v>
      </c>
      <c r="C42" t="n">
        <v>56560</v>
      </c>
      <c r="D42" t="n">
        <v>1</v>
      </c>
      <c r="E42">
        <f>HYPERLINK("file:///C:/Users/anye forti/Desktop/2025 FALL/426 COSC/YOLO_TESTING/bbox-snapshots/frame00368_id582.png", "frame00368_id582.png")</f>
        <v/>
      </c>
    </row>
    <row r="43">
      <c r="A43" t="n">
        <v>375</v>
      </c>
      <c r="B43" t="n">
        <v>605</v>
      </c>
      <c r="C43" t="n">
        <v>37101</v>
      </c>
      <c r="D43" t="n">
        <v>1</v>
      </c>
      <c r="E43">
        <f>HYPERLINK("file:///C:/Users/anye forti/Desktop/2025 FALL/426 COSC/YOLO_TESTING/bbox-snapshots/frame00375_id605.png", "frame00375_id605.png")</f>
        <v/>
      </c>
    </row>
    <row r="44">
      <c r="A44" t="n">
        <v>385</v>
      </c>
      <c r="B44" t="n">
        <v>636</v>
      </c>
      <c r="C44" t="n">
        <v>40098</v>
      </c>
      <c r="D44" t="n">
        <v>1</v>
      </c>
      <c r="E44">
        <f>HYPERLINK("file:///C:/Users/anye forti/Desktop/2025 FALL/426 COSC/YOLO_TESTING/bbox-snapshots/frame00385_id636.png", "frame00385_id636.png")</f>
        <v/>
      </c>
    </row>
    <row r="45">
      <c r="A45" t="n">
        <v>387</v>
      </c>
      <c r="B45" t="n">
        <v>644</v>
      </c>
      <c r="C45" t="n">
        <v>26373</v>
      </c>
      <c r="D45" t="n">
        <v>1</v>
      </c>
      <c r="E45">
        <f>HYPERLINK("file:///C:/Users/anye forti/Desktop/2025 FALL/426 COSC/YOLO_TESTING/bbox-snapshots/frame00387_id644.png", "frame00387_id644.png")</f>
        <v/>
      </c>
    </row>
    <row r="46">
      <c r="A46" t="n">
        <v>389</v>
      </c>
      <c r="B46" t="n">
        <v>649</v>
      </c>
      <c r="C46" t="n">
        <v>52710</v>
      </c>
      <c r="D46" t="n">
        <v>1</v>
      </c>
      <c r="E46">
        <f>HYPERLINK("file:///C:/Users/anye forti/Desktop/2025 FALL/426 COSC/YOLO_TESTING/bbox-snapshots/frame00389_id649.png", "frame00389_id649.png")</f>
        <v/>
      </c>
    </row>
    <row r="47">
      <c r="A47" t="n">
        <v>392</v>
      </c>
      <c r="B47" t="n">
        <v>651</v>
      </c>
      <c r="C47" t="n">
        <v>36456</v>
      </c>
      <c r="D47" t="n">
        <v>1</v>
      </c>
      <c r="E47">
        <f>HYPERLINK("file:///C:/Users/anye forti/Desktop/2025 FALL/426 COSC/YOLO_TESTING/bbox-snapshots/frame00392_id651.png", "frame00392_id651.png")</f>
        <v/>
      </c>
    </row>
    <row r="48">
      <c r="A48" t="n">
        <v>399</v>
      </c>
      <c r="B48" t="n">
        <v>659</v>
      </c>
      <c r="C48" t="n">
        <v>32136</v>
      </c>
      <c r="D48" t="n">
        <v>1</v>
      </c>
      <c r="E48">
        <f>HYPERLINK("file:///C:/Users/anye forti/Desktop/2025 FALL/426 COSC/YOLO_TESTING/bbox-snapshots/frame00399_id659.png", "frame00399_id659.png")</f>
        <v/>
      </c>
    </row>
    <row r="49">
      <c r="A49" t="n">
        <v>414</v>
      </c>
      <c r="B49" t="n">
        <v>685</v>
      </c>
      <c r="C49" t="n">
        <v>44184</v>
      </c>
      <c r="D49" t="n">
        <v>1</v>
      </c>
      <c r="E49">
        <f>HYPERLINK("file:///C:/Users/anye forti/Desktop/2025 FALL/426 COSC/YOLO_TESTING/bbox-snapshots/frame00414_id685.png", "frame00414_id685.png")</f>
        <v/>
      </c>
    </row>
    <row r="50">
      <c r="A50" t="n">
        <v>415</v>
      </c>
      <c r="B50" t="n">
        <v>688</v>
      </c>
      <c r="C50" t="n">
        <v>47628</v>
      </c>
      <c r="D50" t="n">
        <v>1</v>
      </c>
      <c r="E50">
        <f>HYPERLINK("file:///C:/Users/anye forti/Desktop/2025 FALL/426 COSC/YOLO_TESTING/bbox-snapshots/frame00415_id688.png", "frame00415_id688.png")</f>
        <v/>
      </c>
    </row>
    <row r="51">
      <c r="A51" t="n">
        <v>427</v>
      </c>
      <c r="B51" t="n">
        <v>692</v>
      </c>
      <c r="C51" t="n">
        <v>71272</v>
      </c>
      <c r="D51" t="n">
        <v>2</v>
      </c>
      <c r="E51">
        <f>HYPERLINK("file:///C:/Users/anye forti/Desktop/2025 FALL/426 COSC/YOLO_TESTING/bbox-snapshots/frame00427_id692.png", "frame00427_id692.png")</f>
        <v/>
      </c>
    </row>
    <row r="52">
      <c r="A52" t="n">
        <v>434</v>
      </c>
      <c r="B52" t="n">
        <v>743</v>
      </c>
      <c r="C52" t="n">
        <v>47988</v>
      </c>
      <c r="D52" t="n">
        <v>1</v>
      </c>
      <c r="E52">
        <f>HYPERLINK("file:///C:/Users/anye forti/Desktop/2025 FALL/426 COSC/YOLO_TESTING/bbox-snapshots/frame00434_id743.png", "frame00434_id743.png")</f>
        <v/>
      </c>
    </row>
    <row r="53">
      <c r="A53" t="n">
        <v>446</v>
      </c>
      <c r="B53" t="n">
        <v>760</v>
      </c>
      <c r="C53" t="n">
        <v>69085</v>
      </c>
      <c r="D53" t="n">
        <v>2</v>
      </c>
      <c r="E53">
        <f>HYPERLINK("file:///C:/Users/anye forti/Desktop/2025 FALL/426 COSC/YOLO_TESTING/bbox-snapshots/frame00446_id760.png", "frame00446_id760.png")</f>
        <v/>
      </c>
    </row>
    <row r="54">
      <c r="A54" t="n">
        <v>448</v>
      </c>
      <c r="B54" t="n">
        <v>776</v>
      </c>
      <c r="C54" t="n">
        <v>43090</v>
      </c>
      <c r="D54" t="n">
        <v>1</v>
      </c>
      <c r="E54">
        <f>HYPERLINK("file:///C:/Users/anye forti/Desktop/2025 FALL/426 COSC/YOLO_TESTING/bbox-snapshots/frame00448_id776.png", "frame00448_id776.png")</f>
        <v/>
      </c>
    </row>
    <row r="55">
      <c r="A55" t="n">
        <v>458</v>
      </c>
      <c r="B55" t="n">
        <v>802</v>
      </c>
      <c r="C55" t="n">
        <v>51714</v>
      </c>
      <c r="D55" t="n">
        <v>1</v>
      </c>
      <c r="E55">
        <f>HYPERLINK("file:///C:/Users/anye forti/Desktop/2025 FALL/426 COSC/YOLO_TESTING/bbox-snapshots/frame00458_id802.png", "frame00458_id802.png")</f>
        <v/>
      </c>
    </row>
    <row r="56">
      <c r="A56" t="n">
        <v>462</v>
      </c>
      <c r="B56" t="n">
        <v>789</v>
      </c>
      <c r="C56" t="n">
        <v>25024</v>
      </c>
      <c r="D56" t="n">
        <v>1</v>
      </c>
      <c r="E56">
        <f>HYPERLINK("file:///C:/Users/anye forti/Desktop/2025 FALL/426 COSC/YOLO_TESTING/bbox-snapshots/frame00462_id789.png", "frame00462_id789.png")</f>
        <v/>
      </c>
    </row>
    <row r="57">
      <c r="A57" t="n">
        <v>464</v>
      </c>
      <c r="B57" t="n">
        <v>814</v>
      </c>
      <c r="C57" t="n">
        <v>54404</v>
      </c>
      <c r="D57" t="n">
        <v>1</v>
      </c>
      <c r="E57">
        <f>HYPERLINK("file:///C:/Users/anye forti/Desktop/2025 FALL/426 COSC/YOLO_TESTING/bbox-snapshots/frame00464_id814.png", "frame00464_id814.png")</f>
        <v/>
      </c>
    </row>
    <row r="58">
      <c r="A58" t="n">
        <v>468</v>
      </c>
      <c r="B58" t="n">
        <v>820</v>
      </c>
      <c r="C58" t="n">
        <v>64960</v>
      </c>
      <c r="D58" t="n">
        <v>2</v>
      </c>
      <c r="E58">
        <f>HYPERLINK("file:///C:/Users/anye forti/Desktop/2025 FALL/426 COSC/YOLO_TESTING/bbox-snapshots/frame00468_id820.png", "frame00468_id820.png")</f>
        <v/>
      </c>
    </row>
    <row r="59">
      <c r="A59" t="n">
        <v>477</v>
      </c>
      <c r="B59" t="n">
        <v>867</v>
      </c>
      <c r="C59" t="n">
        <v>49200</v>
      </c>
      <c r="D59" t="n">
        <v>1</v>
      </c>
      <c r="E59">
        <f>HYPERLINK("file:///C:/Users/anye forti/Desktop/2025 FALL/426 COSC/YOLO_TESTING/bbox-snapshots/frame00477_id867.png", "frame00477_id867.png")</f>
        <v/>
      </c>
    </row>
    <row r="60">
      <c r="A60" t="n">
        <v>478</v>
      </c>
      <c r="B60" t="n">
        <v>850</v>
      </c>
      <c r="C60" t="n">
        <v>39690</v>
      </c>
      <c r="D60" t="n">
        <v>1</v>
      </c>
      <c r="E60">
        <f>HYPERLINK("file:///C:/Users/anye forti/Desktop/2025 FALL/426 COSC/YOLO_TESTING/bbox-snapshots/frame00478_id850.png", "frame00478_id850.png")</f>
        <v/>
      </c>
    </row>
    <row r="61">
      <c r="A61" t="n">
        <v>488</v>
      </c>
      <c r="B61" t="n">
        <v>927</v>
      </c>
      <c r="C61" t="n">
        <v>40953</v>
      </c>
      <c r="D61" t="n">
        <v>1</v>
      </c>
      <c r="E61">
        <f>HYPERLINK("file:///C:/Users/anye forti/Desktop/2025 FALL/426 COSC/YOLO_TESTING/bbox-snapshots/frame00488_id927.png", "frame00488_id927.png")</f>
        <v/>
      </c>
    </row>
    <row r="62">
      <c r="A62" t="n">
        <v>496</v>
      </c>
      <c r="B62" t="n">
        <v>952</v>
      </c>
      <c r="C62" t="n">
        <v>40443</v>
      </c>
      <c r="D62" t="n">
        <v>1</v>
      </c>
      <c r="E62">
        <f>HYPERLINK("file:///C:/Users/anye forti/Desktop/2025 FALL/426 COSC/YOLO_TESTING/bbox-snapshots/frame00496_id952.png", "frame00496_id952.png")</f>
        <v/>
      </c>
    </row>
    <row r="63">
      <c r="A63" t="n">
        <v>502</v>
      </c>
      <c r="B63" t="n">
        <v>954</v>
      </c>
      <c r="C63" t="n">
        <v>78812</v>
      </c>
      <c r="D63" t="n">
        <v>2</v>
      </c>
      <c r="E63">
        <f>HYPERLINK("file:///C:/Users/anye forti/Desktop/2025 FALL/426 COSC/YOLO_TESTING/bbox-snapshots/frame00502_id954.png", "frame00502_id954.png")</f>
        <v/>
      </c>
    </row>
    <row r="64">
      <c r="A64" t="n">
        <v>508</v>
      </c>
      <c r="B64" t="n">
        <v>960</v>
      </c>
      <c r="C64" t="n">
        <v>52547</v>
      </c>
      <c r="D64" t="n">
        <v>1</v>
      </c>
      <c r="E64">
        <f>HYPERLINK("file:///C:/Users/anye forti/Desktop/2025 FALL/426 COSC/YOLO_TESTING/bbox-snapshots/frame00508_id960.png", "frame00508_id960.png")</f>
        <v/>
      </c>
    </row>
    <row r="65">
      <c r="A65" t="n">
        <v>515</v>
      </c>
      <c r="B65" t="n">
        <v>1001</v>
      </c>
      <c r="C65" t="n">
        <v>93738</v>
      </c>
      <c r="D65" t="n">
        <v>2</v>
      </c>
      <c r="E65">
        <f>HYPERLINK("file:///C:/Users/anye forti/Desktop/2025 FALL/426 COSC/YOLO_TESTING/bbox-snapshots/frame00515_id1001.png", "frame00515_id1001.png")</f>
        <v/>
      </c>
    </row>
    <row r="66">
      <c r="A66" t="n">
        <v>517</v>
      </c>
      <c r="B66" t="n">
        <v>993</v>
      </c>
      <c r="C66" t="n">
        <v>46480</v>
      </c>
      <c r="D66" t="n">
        <v>1</v>
      </c>
      <c r="E66">
        <f>HYPERLINK("file:///C:/Users/anye forti/Desktop/2025 FALL/426 COSC/YOLO_TESTING/bbox-snapshots/frame00517_id993.png", "frame00517_id993.png")</f>
        <v/>
      </c>
    </row>
    <row r="67">
      <c r="A67" t="n">
        <v>524</v>
      </c>
      <c r="B67" t="n">
        <v>1019</v>
      </c>
      <c r="C67" t="n">
        <v>56712</v>
      </c>
      <c r="D67" t="n">
        <v>1</v>
      </c>
      <c r="E67">
        <f>HYPERLINK("file:///C:/Users/anye forti/Desktop/2025 FALL/426 COSC/YOLO_TESTING/bbox-snapshots/frame00524_id1019.png", "frame00524_id1019.png")</f>
        <v/>
      </c>
    </row>
    <row r="68">
      <c r="A68" t="n">
        <v>526</v>
      </c>
      <c r="B68" t="n">
        <v>1015</v>
      </c>
      <c r="C68" t="n">
        <v>55125</v>
      </c>
      <c r="D68" t="n">
        <v>1</v>
      </c>
      <c r="E68">
        <f>HYPERLINK("file:///C:/Users/anye forti/Desktop/2025 FALL/426 COSC/YOLO_TESTING/bbox-snapshots/frame00526_id1015.png", "frame00526_id1015.png")</f>
        <v/>
      </c>
    </row>
    <row r="69">
      <c r="A69" t="n">
        <v>527</v>
      </c>
      <c r="B69" t="n">
        <v>1029</v>
      </c>
      <c r="C69" t="n">
        <v>40716</v>
      </c>
      <c r="D69" t="n">
        <v>1</v>
      </c>
      <c r="E69">
        <f>HYPERLINK("file:///C:/Users/anye forti/Desktop/2025 FALL/426 COSC/YOLO_TESTING/bbox-snapshots/frame00527_id1029.png", "frame00527_id1029.png")</f>
        <v/>
      </c>
    </row>
    <row r="70">
      <c r="A70" t="n">
        <v>529</v>
      </c>
      <c r="B70" t="n">
        <v>1046</v>
      </c>
      <c r="C70" t="n">
        <v>50982</v>
      </c>
      <c r="D70" t="n">
        <v>1</v>
      </c>
      <c r="E70">
        <f>HYPERLINK("file:///C:/Users/anye forti/Desktop/2025 FALL/426 COSC/YOLO_TESTING/bbox-snapshots/frame00529_id1046.png", "frame00529_id1046.png")</f>
        <v/>
      </c>
    </row>
    <row r="71">
      <c r="A71" t="n">
        <v>536</v>
      </c>
      <c r="B71" t="n">
        <v>1044</v>
      </c>
      <c r="C71" t="n">
        <v>51336</v>
      </c>
      <c r="D71" t="n">
        <v>1</v>
      </c>
      <c r="E71">
        <f>HYPERLINK("file:///C:/Users/anye forti/Desktop/2025 FALL/426 COSC/YOLO_TESTING/bbox-snapshots/frame00536_id1044.png", "frame00536_id1044.png")</f>
        <v/>
      </c>
    </row>
    <row r="72">
      <c r="A72" t="n">
        <v>536</v>
      </c>
      <c r="B72" t="n">
        <v>1083</v>
      </c>
      <c r="C72" t="n">
        <v>41032</v>
      </c>
      <c r="D72" t="n">
        <v>1</v>
      </c>
      <c r="E72">
        <f>HYPERLINK("file:///C:/Users/anye forti/Desktop/2025 FALL/426 COSC/YOLO_TESTING/bbox-snapshots/frame00536_id1083.png", "frame00536_id1083.png")</f>
        <v/>
      </c>
    </row>
    <row r="73">
      <c r="A73" t="n">
        <v>536</v>
      </c>
      <c r="B73" t="n">
        <v>1109</v>
      </c>
      <c r="C73" t="n">
        <v>13673</v>
      </c>
      <c r="D73" t="n">
        <v>1</v>
      </c>
      <c r="E73">
        <f>HYPERLINK("file:///C:/Users/anye forti/Desktop/2025 FALL/426 COSC/YOLO_TESTING/bbox-snapshots/frame00536_id1109.png", "frame00536_id1109.png")</f>
        <v/>
      </c>
    </row>
    <row r="74">
      <c r="A74" t="n">
        <v>543</v>
      </c>
      <c r="B74" t="n">
        <v>1024</v>
      </c>
      <c r="C74" t="n">
        <v>46155</v>
      </c>
      <c r="D74" t="n">
        <v>1</v>
      </c>
      <c r="E74">
        <f>HYPERLINK("file:///C:/Users/anye forti/Desktop/2025 FALL/426 COSC/YOLO_TESTING/bbox-snapshots/frame00543_id1024.png", "frame00543_id1024.png")</f>
        <v/>
      </c>
    </row>
    <row r="75">
      <c r="A75" t="n">
        <v>549</v>
      </c>
      <c r="B75" t="n">
        <v>1099</v>
      </c>
      <c r="C75" t="n">
        <v>57600</v>
      </c>
      <c r="D75" t="n">
        <v>1</v>
      </c>
      <c r="E75">
        <f>HYPERLINK("file:///C:/Users/anye forti/Desktop/2025 FALL/426 COSC/YOLO_TESTING/bbox-snapshots/frame00549_id1099.png", "frame00549_id1099.png")</f>
        <v/>
      </c>
    </row>
    <row r="76">
      <c r="A76" t="n">
        <v>550</v>
      </c>
      <c r="B76" t="n">
        <v>1082</v>
      </c>
      <c r="C76" t="n">
        <v>45627</v>
      </c>
      <c r="D76" t="n">
        <v>1</v>
      </c>
      <c r="E76">
        <f>HYPERLINK("file:///C:/Users/anye forti/Desktop/2025 FALL/426 COSC/YOLO_TESTING/bbox-snapshots/frame00550_id1082.png", "frame00550_id1082.png")</f>
        <v/>
      </c>
    </row>
    <row r="77">
      <c r="A77" t="n">
        <v>554</v>
      </c>
      <c r="B77" t="n">
        <v>1103</v>
      </c>
      <c r="C77" t="n">
        <v>50660</v>
      </c>
      <c r="D77" t="n">
        <v>1</v>
      </c>
      <c r="E77">
        <f>HYPERLINK("file:///C:/Users/anye forti/Desktop/2025 FALL/426 COSC/YOLO_TESTING/bbox-snapshots/frame00554_id1103.png", "frame00554_id1103.png")</f>
        <v/>
      </c>
    </row>
    <row r="78">
      <c r="A78" t="n">
        <v>565</v>
      </c>
      <c r="B78" t="n">
        <v>1137</v>
      </c>
      <c r="C78" t="n">
        <v>56898</v>
      </c>
      <c r="D78" t="n">
        <v>1</v>
      </c>
      <c r="E78">
        <f>HYPERLINK("file:///C:/Users/anye forti/Desktop/2025 FALL/426 COSC/YOLO_TESTING/bbox-snapshots/frame00565_id1137.png", "frame00565_id1137.png")</f>
        <v/>
      </c>
    </row>
    <row r="79">
      <c r="A79" t="n">
        <v>569</v>
      </c>
      <c r="B79" t="n">
        <v>1159</v>
      </c>
      <c r="C79" t="n">
        <v>37674</v>
      </c>
      <c r="D79" t="n">
        <v>1</v>
      </c>
      <c r="E79">
        <f>HYPERLINK("file:///C:/Users/anye forti/Desktop/2025 FALL/426 COSC/YOLO_TESTING/bbox-snapshots/frame00569_id1159.png", "frame00569_id1159.png")</f>
        <v/>
      </c>
    </row>
    <row r="80">
      <c r="A80" t="n">
        <v>570</v>
      </c>
      <c r="B80" t="n">
        <v>1174</v>
      </c>
      <c r="C80" t="n">
        <v>18120</v>
      </c>
      <c r="D80" t="n">
        <v>1</v>
      </c>
      <c r="E80">
        <f>HYPERLINK("file:///C:/Users/anye forti/Desktop/2025 FALL/426 COSC/YOLO_TESTING/bbox-snapshots/frame00570_id1174.png", "frame00570_id1174.png")</f>
        <v/>
      </c>
    </row>
    <row r="81">
      <c r="A81" t="n">
        <v>576</v>
      </c>
      <c r="B81" t="n">
        <v>1205</v>
      </c>
      <c r="C81" t="n">
        <v>39824</v>
      </c>
      <c r="D81" t="n">
        <v>1</v>
      </c>
      <c r="E81">
        <f>HYPERLINK("file:///C:/Users/anye forti/Desktop/2025 FALL/426 COSC/YOLO_TESTING/bbox-snapshots/frame00576_id1205.png", "frame00576_id1205.png")</f>
        <v/>
      </c>
    </row>
    <row r="82">
      <c r="A82" t="n">
        <v>576</v>
      </c>
      <c r="B82" t="n">
        <v>1270</v>
      </c>
      <c r="C82" t="n">
        <v>19032</v>
      </c>
      <c r="D82" t="n">
        <v>1</v>
      </c>
      <c r="E82">
        <f>HYPERLINK("file:///C:/Users/anye forti/Desktop/2025 FALL/426 COSC/YOLO_TESTING/bbox-snapshots/frame00576_id1270.png", "frame00576_id1270.png")</f>
        <v/>
      </c>
    </row>
    <row r="83">
      <c r="A83" t="n">
        <v>578</v>
      </c>
      <c r="B83" t="n">
        <v>1178</v>
      </c>
      <c r="C83" t="n">
        <v>39711</v>
      </c>
      <c r="D83" t="n">
        <v>1</v>
      </c>
      <c r="E83">
        <f>HYPERLINK("file:///C:/Users/anye forti/Desktop/2025 FALL/426 COSC/YOLO_TESTING/bbox-snapshots/frame00578_id1178.png", "frame00578_id1178.png")</f>
        <v/>
      </c>
    </row>
    <row r="84">
      <c r="A84" t="n">
        <v>579</v>
      </c>
      <c r="B84" t="n">
        <v>1206</v>
      </c>
      <c r="C84" t="n">
        <v>51766</v>
      </c>
      <c r="D84" t="n">
        <v>1</v>
      </c>
      <c r="E84">
        <f>HYPERLINK("file:///C:/Users/anye forti/Desktop/2025 FALL/426 COSC/YOLO_TESTING/bbox-snapshots/frame00579_id1206.png", "frame00579_id1206.png")</f>
        <v/>
      </c>
    </row>
    <row r="85">
      <c r="A85" t="n">
        <v>579</v>
      </c>
      <c r="B85" t="n">
        <v>1242</v>
      </c>
      <c r="C85" t="n">
        <v>17160</v>
      </c>
      <c r="D85" t="n">
        <v>1</v>
      </c>
      <c r="E85">
        <f>HYPERLINK("file:///C:/Users/anye forti/Desktop/2025 FALL/426 COSC/YOLO_TESTING/bbox-snapshots/frame00579_id1242.png", "frame00579_id1242.png")</f>
        <v/>
      </c>
    </row>
    <row r="86">
      <c r="A86" t="n">
        <v>585</v>
      </c>
      <c r="B86" t="n">
        <v>1266</v>
      </c>
      <c r="C86" t="n">
        <v>12669</v>
      </c>
      <c r="D86" t="n">
        <v>1</v>
      </c>
      <c r="E86">
        <f>HYPERLINK("file:///C:/Users/anye forti/Desktop/2025 FALL/426 COSC/YOLO_TESTING/bbox-snapshots/frame00585_id1266.png", "frame00585_id1266.png")</f>
        <v/>
      </c>
    </row>
    <row r="87">
      <c r="A87" t="n">
        <v>586</v>
      </c>
      <c r="B87" t="n">
        <v>1156</v>
      </c>
      <c r="C87" t="n">
        <v>49020</v>
      </c>
      <c r="D87" t="n">
        <v>1</v>
      </c>
      <c r="E87">
        <f>HYPERLINK("file:///C:/Users/anye forti/Desktop/2025 FALL/426 COSC/YOLO_TESTING/bbox-snapshots/frame00586_id1156.png", "frame00586_id1156.png")</f>
        <v/>
      </c>
    </row>
    <row r="88">
      <c r="A88" t="n">
        <v>586</v>
      </c>
      <c r="B88" t="n">
        <v>1294</v>
      </c>
      <c r="C88" t="n">
        <v>19836</v>
      </c>
      <c r="D88" t="n">
        <v>1</v>
      </c>
      <c r="E88">
        <f>HYPERLINK("file:///C:/Users/anye forti/Desktop/2025 FALL/426 COSC/YOLO_TESTING/bbox-snapshots/frame00586_id1294.png", "frame00586_id1294.png")</f>
        <v/>
      </c>
    </row>
    <row r="89">
      <c r="A89" t="n">
        <v>587</v>
      </c>
      <c r="B89" t="n">
        <v>1181</v>
      </c>
      <c r="C89" t="n">
        <v>38478</v>
      </c>
      <c r="D89" t="n">
        <v>1</v>
      </c>
      <c r="E89">
        <f>HYPERLINK("file:///C:/Users/anye forti/Desktop/2025 FALL/426 COSC/YOLO_TESTING/bbox-snapshots/frame00587_id1181.png", "frame00587_id1181.png")</f>
        <v/>
      </c>
    </row>
    <row r="90">
      <c r="A90" t="n">
        <v>596</v>
      </c>
      <c r="B90" t="n">
        <v>1290</v>
      </c>
      <c r="C90" t="n">
        <v>38540</v>
      </c>
      <c r="D90" t="n">
        <v>1</v>
      </c>
      <c r="E90">
        <f>HYPERLINK("file:///C:/Users/anye forti/Desktop/2025 FALL/426 COSC/YOLO_TESTING/bbox-snapshots/frame00596_id1290.png", "frame00596_id1290.png")</f>
        <v/>
      </c>
    </row>
    <row r="91">
      <c r="A91" t="n">
        <v>597</v>
      </c>
      <c r="B91" t="n">
        <v>1186</v>
      </c>
      <c r="C91" t="n">
        <v>42804</v>
      </c>
      <c r="D91" t="n">
        <v>1</v>
      </c>
      <c r="E91">
        <f>HYPERLINK("file:///C:/Users/anye forti/Desktop/2025 FALL/426 COSC/YOLO_TESTING/bbox-snapshots/frame00597_id1186.png", "frame00597_id1186.png")</f>
        <v/>
      </c>
    </row>
    <row r="92">
      <c r="A92" t="n">
        <v>600</v>
      </c>
      <c r="B92" t="n">
        <v>1128</v>
      </c>
      <c r="C92" t="n">
        <v>26784</v>
      </c>
      <c r="D92" t="n">
        <v>1</v>
      </c>
      <c r="E92">
        <f>HYPERLINK("file:///C:/Users/anye forti/Desktop/2025 FALL/426 COSC/YOLO_TESTING/bbox-snapshots/frame00600_id1128.png", "frame00600_id1128.png")</f>
        <v/>
      </c>
    </row>
    <row r="93">
      <c r="A93" t="n">
        <v>607</v>
      </c>
      <c r="B93" t="n">
        <v>1339</v>
      </c>
      <c r="C93" t="n">
        <v>38073</v>
      </c>
      <c r="D93" t="n">
        <v>1</v>
      </c>
      <c r="E93">
        <f>HYPERLINK("file:///C:/Users/anye forti/Desktop/2025 FALL/426 COSC/YOLO_TESTING/bbox-snapshots/frame00607_id1339.png", "frame00607_id1339.png")</f>
        <v/>
      </c>
    </row>
    <row r="94">
      <c r="A94" t="n">
        <v>608</v>
      </c>
      <c r="B94" t="n">
        <v>1210</v>
      </c>
      <c r="C94" t="n">
        <v>52452</v>
      </c>
      <c r="D94" t="n">
        <v>1</v>
      </c>
      <c r="E94">
        <f>HYPERLINK("file:///C:/Users/anye forti/Desktop/2025 FALL/426 COSC/YOLO_TESTING/bbox-snapshots/frame00608_id1210.png", "frame00608_id1210.png")</f>
        <v/>
      </c>
    </row>
    <row r="95">
      <c r="A95" t="n">
        <v>608</v>
      </c>
      <c r="B95" t="n">
        <v>1452</v>
      </c>
      <c r="C95" t="n">
        <v>20384</v>
      </c>
      <c r="D95" t="n">
        <v>1</v>
      </c>
      <c r="E95">
        <f>HYPERLINK("file:///C:/Users/anye forti/Desktop/2025 FALL/426 COSC/YOLO_TESTING/bbox-snapshots/frame00608_id1452.png", "frame00608_id1452.png")</f>
        <v/>
      </c>
    </row>
    <row r="96">
      <c r="A96" t="n">
        <v>617</v>
      </c>
      <c r="B96" t="n">
        <v>1388</v>
      </c>
      <c r="C96" t="n">
        <v>63308</v>
      </c>
      <c r="D96" t="n">
        <v>2</v>
      </c>
      <c r="E96">
        <f>HYPERLINK("file:///C:/Users/anye forti/Desktop/2025 FALL/426 COSC/YOLO_TESTING/bbox-snapshots/frame00617_id1388.png", "frame00617_id1388.png")</f>
        <v/>
      </c>
    </row>
    <row r="97">
      <c r="A97" t="n">
        <v>627</v>
      </c>
      <c r="B97" t="n">
        <v>1450</v>
      </c>
      <c r="C97" t="n">
        <v>42315</v>
      </c>
      <c r="D97" t="n">
        <v>1</v>
      </c>
      <c r="E97">
        <f>HYPERLINK("file:///C:/Users/anye forti/Desktop/2025 FALL/426 COSC/YOLO_TESTING/bbox-snapshots/frame00627_id1450.png", "frame00627_id1450.png")</f>
        <v/>
      </c>
    </row>
    <row r="98">
      <c r="A98" t="n">
        <v>632</v>
      </c>
      <c r="B98" t="n">
        <v>1525</v>
      </c>
      <c r="C98" t="n">
        <v>25146</v>
      </c>
      <c r="D98" t="n">
        <v>1</v>
      </c>
      <c r="E98">
        <f>HYPERLINK("file:///C:/Users/anye forti/Desktop/2025 FALL/426 COSC/YOLO_TESTING/bbox-snapshots/frame00632_id1525.png", "frame00632_id1525.png")</f>
        <v/>
      </c>
    </row>
    <row r="99">
      <c r="A99" t="n">
        <v>639</v>
      </c>
      <c r="B99" t="n">
        <v>1554</v>
      </c>
      <c r="C99" t="n">
        <v>40740</v>
      </c>
      <c r="D99" t="n">
        <v>1</v>
      </c>
      <c r="E99">
        <f>HYPERLINK("file:///C:/Users/anye forti/Desktop/2025 FALL/426 COSC/YOLO_TESTING/bbox-snapshots/frame00639_id1554.png", "frame00639_id1554.png")</f>
        <v/>
      </c>
    </row>
    <row r="100">
      <c r="A100" t="n">
        <v>640</v>
      </c>
      <c r="B100" t="n">
        <v>1529</v>
      </c>
      <c r="C100" t="n">
        <v>41605</v>
      </c>
      <c r="D100" t="n">
        <v>1</v>
      </c>
      <c r="E100">
        <f>HYPERLINK("file:///C:/Users/anye forti/Desktop/2025 FALL/426 COSC/YOLO_TESTING/bbox-snapshots/frame00640_id1529.png", "frame00640_id1529.png")</f>
        <v/>
      </c>
    </row>
    <row r="101">
      <c r="A101" t="n">
        <v>645</v>
      </c>
      <c r="B101" t="n">
        <v>1564</v>
      </c>
      <c r="C101" t="n">
        <v>37812</v>
      </c>
      <c r="D101" t="n">
        <v>1</v>
      </c>
      <c r="E101">
        <f>HYPERLINK("file:///C:/Users/anye forti/Desktop/2025 FALL/426 COSC/YOLO_TESTING/bbox-snapshots/frame00645_id1564.png", "frame00645_id1564.png")</f>
        <v/>
      </c>
    </row>
    <row r="102">
      <c r="A102" t="n">
        <v>646</v>
      </c>
      <c r="B102" t="n">
        <v>1549</v>
      </c>
      <c r="C102" t="n">
        <v>49664</v>
      </c>
      <c r="D102" t="n">
        <v>1</v>
      </c>
      <c r="E102">
        <f>HYPERLINK("file:///C:/Users/anye forti/Desktop/2025 FALL/426 COSC/YOLO_TESTING/bbox-snapshots/frame00646_id1549.png", "frame00646_id1549.png")</f>
        <v/>
      </c>
    </row>
    <row r="103">
      <c r="A103" t="n">
        <v>651</v>
      </c>
      <c r="B103" t="n">
        <v>1570</v>
      </c>
      <c r="C103" t="n">
        <v>51359</v>
      </c>
      <c r="D103" t="n">
        <v>1</v>
      </c>
      <c r="E103">
        <f>HYPERLINK("file:///C:/Users/anye forti/Desktop/2025 FALL/426 COSC/YOLO_TESTING/bbox-snapshots/frame00651_id1570.png", "frame00651_id1570.png")</f>
        <v/>
      </c>
    </row>
    <row r="104">
      <c r="A104" t="n">
        <v>652</v>
      </c>
      <c r="B104" t="n">
        <v>1610</v>
      </c>
      <c r="C104" t="n">
        <v>12177</v>
      </c>
      <c r="D104" t="n">
        <v>0</v>
      </c>
      <c r="E104">
        <f>HYPERLINK("file:///C:/Users/anye forti/Desktop/2025 FALL/426 COSC/YOLO_TESTING/bbox-snapshots/frame00652_id1610.png", "frame00652_id1610.png")</f>
        <v/>
      </c>
    </row>
    <row r="105">
      <c r="A105" t="n">
        <v>659</v>
      </c>
      <c r="B105" t="n">
        <v>1642</v>
      </c>
      <c r="C105" t="n">
        <v>44080</v>
      </c>
      <c r="D105" t="n">
        <v>1</v>
      </c>
      <c r="E105">
        <f>HYPERLINK("file:///C:/Users/anye forti/Desktop/2025 FALL/426 COSC/YOLO_TESTING/bbox-snapshots/frame00659_id1642.png", "frame00659_id1642.png")</f>
        <v/>
      </c>
    </row>
    <row r="106">
      <c r="A106" t="n">
        <v>662</v>
      </c>
      <c r="B106" t="n">
        <v>1677</v>
      </c>
      <c r="C106" t="n">
        <v>31620</v>
      </c>
      <c r="D106" t="n">
        <v>1</v>
      </c>
      <c r="E106">
        <f>HYPERLINK("file:///C:/Users/anye forti/Desktop/2025 FALL/426 COSC/YOLO_TESTING/bbox-snapshots/frame00662_id1677.png", "frame00662_id1677.png")</f>
        <v/>
      </c>
    </row>
    <row r="107">
      <c r="A107" t="n">
        <v>664</v>
      </c>
      <c r="B107" t="n">
        <v>1613</v>
      </c>
      <c r="C107" t="n">
        <v>46200</v>
      </c>
      <c r="D107" t="n">
        <v>1</v>
      </c>
      <c r="E107">
        <f>HYPERLINK("file:///C:/Users/anye forti/Desktop/2025 FALL/426 COSC/YOLO_TESTING/bbox-snapshots/frame00664_id1613.png", "frame00664_id1613.png")</f>
        <v/>
      </c>
    </row>
    <row r="108">
      <c r="A108" t="n">
        <v>665</v>
      </c>
      <c r="B108" t="n">
        <v>1658</v>
      </c>
      <c r="C108" t="n">
        <v>17604</v>
      </c>
      <c r="D108" t="n">
        <v>1</v>
      </c>
      <c r="E108">
        <f>HYPERLINK("file:///C:/Users/anye forti/Desktop/2025 FALL/426 COSC/YOLO_TESTING/bbox-snapshots/frame00665_id1658.png", "frame00665_id1658.png")</f>
        <v/>
      </c>
    </row>
    <row r="109">
      <c r="A109" t="n">
        <v>668</v>
      </c>
      <c r="B109" t="n">
        <v>1653</v>
      </c>
      <c r="C109" t="n">
        <v>23986</v>
      </c>
      <c r="D109" t="n">
        <v>1</v>
      </c>
      <c r="E109">
        <f>HYPERLINK("file:///C:/Users/anye forti/Desktop/2025 FALL/426 COSC/YOLO_TESTING/bbox-snapshots/frame00668_id1653.png", "frame00668_id1653.png")</f>
        <v/>
      </c>
    </row>
    <row r="110">
      <c r="A110" t="n">
        <v>668</v>
      </c>
      <c r="B110" t="n">
        <v>1585</v>
      </c>
      <c r="C110" t="n">
        <v>56166</v>
      </c>
      <c r="D110" t="n">
        <v>1</v>
      </c>
      <c r="E110">
        <f>HYPERLINK("file:///C:/Users/anye forti/Desktop/2025 FALL/426 COSC/YOLO_TESTING/bbox-snapshots/frame00668_id1585.png", "frame00668_id1585.png")</f>
        <v/>
      </c>
    </row>
    <row r="111">
      <c r="A111" t="n">
        <v>678</v>
      </c>
      <c r="B111" t="n">
        <v>1680</v>
      </c>
      <c r="C111" t="n">
        <v>55220</v>
      </c>
      <c r="D111" t="n">
        <v>1</v>
      </c>
      <c r="E111">
        <f>HYPERLINK("file:///C:/Users/anye forti/Desktop/2025 FALL/426 COSC/YOLO_TESTING/bbox-snapshots/frame00678_id1680.png", "frame00678_id1680.png")</f>
        <v/>
      </c>
    </row>
    <row r="112">
      <c r="A112" t="n">
        <v>678</v>
      </c>
      <c r="B112" t="n">
        <v>1685</v>
      </c>
      <c r="C112" t="n">
        <v>29605</v>
      </c>
      <c r="D112" t="n">
        <v>1</v>
      </c>
      <c r="E112">
        <f>HYPERLINK("file:///C:/Users/anye forti/Desktop/2025 FALL/426 COSC/YOLO_TESTING/bbox-snapshots/frame00678_id1685.png", "frame00678_id1685.png")</f>
        <v/>
      </c>
    </row>
    <row r="113">
      <c r="A113" t="n">
        <v>683</v>
      </c>
      <c r="B113" t="n">
        <v>1686</v>
      </c>
      <c r="C113" t="n">
        <v>42160</v>
      </c>
      <c r="D113" t="n">
        <v>1</v>
      </c>
      <c r="E113">
        <f>HYPERLINK("file:///C:/Users/anye forti/Desktop/2025 FALL/426 COSC/YOLO_TESTING/bbox-snapshots/frame00683_id1686.png", "frame00683_id1686.png")</f>
        <v/>
      </c>
    </row>
    <row r="114">
      <c r="A114" t="n">
        <v>684</v>
      </c>
      <c r="B114" t="n">
        <v>1722</v>
      </c>
      <c r="C114" t="n">
        <v>21080</v>
      </c>
      <c r="D114" t="n">
        <v>1</v>
      </c>
      <c r="E114">
        <f>HYPERLINK("file:///C:/Users/anye forti/Desktop/2025 FALL/426 COSC/YOLO_TESTING/bbox-snapshots/frame00684_id1722.png", "frame00684_id1722.png")</f>
        <v/>
      </c>
    </row>
    <row r="115">
      <c r="A115" t="n">
        <v>685</v>
      </c>
      <c r="B115" t="n">
        <v>1641</v>
      </c>
      <c r="C115" t="n">
        <v>33142</v>
      </c>
      <c r="D115" t="n">
        <v>1</v>
      </c>
      <c r="E115">
        <f>HYPERLINK("file:///C:/Users/anye forti/Desktop/2025 FALL/426 COSC/YOLO_TESTING/bbox-snapshots/frame00685_id1641.png", "frame00685_id1641.png")</f>
        <v/>
      </c>
    </row>
    <row r="116">
      <c r="A116" t="n">
        <v>696</v>
      </c>
      <c r="B116" t="n">
        <v>1814</v>
      </c>
      <c r="C116" t="n">
        <v>16240</v>
      </c>
      <c r="D116" t="n">
        <v>1</v>
      </c>
      <c r="E116">
        <f>HYPERLINK("file:///C:/Users/anye forti/Desktop/2025 FALL/426 COSC/YOLO_TESTING/bbox-snapshots/frame00696_id1814.png", "frame00696_id1814.png")</f>
        <v/>
      </c>
    </row>
    <row r="117">
      <c r="A117" t="n">
        <v>697</v>
      </c>
      <c r="B117" t="n">
        <v>1764</v>
      </c>
      <c r="C117" t="n">
        <v>54912</v>
      </c>
      <c r="D117" t="n">
        <v>1</v>
      </c>
      <c r="E117">
        <f>HYPERLINK("file:///C:/Users/anye forti/Desktop/2025 FALL/426 COSC/YOLO_TESTING/bbox-snapshots/frame00697_id1764.png", "frame00697_id1764.png")</f>
        <v/>
      </c>
    </row>
    <row r="118">
      <c r="A118" t="n">
        <v>703</v>
      </c>
      <c r="B118" t="n">
        <v>1773</v>
      </c>
      <c r="C118" t="n">
        <v>50600</v>
      </c>
      <c r="D118" t="n">
        <v>1</v>
      </c>
      <c r="E118">
        <f>HYPERLINK("file:///C:/Users/anye forti/Desktop/2025 FALL/426 COSC/YOLO_TESTING/bbox-snapshots/frame00703_id1773.png", "frame00703_id1773.png")</f>
        <v/>
      </c>
    </row>
    <row r="119">
      <c r="A119" t="n">
        <v>703</v>
      </c>
      <c r="B119" t="n">
        <v>1795</v>
      </c>
      <c r="C119" t="n">
        <v>34830</v>
      </c>
      <c r="D119" t="n">
        <v>1</v>
      </c>
      <c r="E119">
        <f>HYPERLINK("file:///C:/Users/anye forti/Desktop/2025 FALL/426 COSC/YOLO_TESTING/bbox-snapshots/frame00703_id1795.png", "frame00703_id1795.png")</f>
        <v/>
      </c>
    </row>
    <row r="120">
      <c r="A120" t="n">
        <v>709</v>
      </c>
      <c r="B120" t="n">
        <v>1808</v>
      </c>
      <c r="C120" t="n">
        <v>48450</v>
      </c>
      <c r="D120" t="n">
        <v>1</v>
      </c>
      <c r="E120">
        <f>HYPERLINK("file:///C:/Users/anye forti/Desktop/2025 FALL/426 COSC/YOLO_TESTING/bbox-snapshots/frame00709_id1808.png", "frame00709_id1808.png")</f>
        <v/>
      </c>
    </row>
    <row r="121">
      <c r="A121" t="n">
        <v>715</v>
      </c>
      <c r="B121" t="n">
        <v>1827</v>
      </c>
      <c r="C121" t="n">
        <v>51330</v>
      </c>
      <c r="D121" t="n">
        <v>1</v>
      </c>
      <c r="E121">
        <f>HYPERLINK("file:///C:/Users/anye forti/Desktop/2025 FALL/426 COSC/YOLO_TESTING/bbox-snapshots/frame00715_id1827.png", "frame00715_id1827.png")</f>
        <v/>
      </c>
    </row>
    <row r="122">
      <c r="A122" t="n">
        <v>718</v>
      </c>
      <c r="B122" t="n">
        <v>1829</v>
      </c>
      <c r="C122" t="n">
        <v>41496</v>
      </c>
      <c r="D122" t="n">
        <v>1</v>
      </c>
      <c r="E122">
        <f>HYPERLINK("file:///C:/Users/anye forti/Desktop/2025 FALL/426 COSC/YOLO_TESTING/bbox-snapshots/frame00718_id1829.png", "frame00718_id1829.png")</f>
        <v/>
      </c>
    </row>
    <row r="123">
      <c r="A123" t="n">
        <v>721</v>
      </c>
      <c r="B123" t="n">
        <v>1751</v>
      </c>
      <c r="C123" t="n">
        <v>33088</v>
      </c>
      <c r="D123" t="n">
        <v>1</v>
      </c>
      <c r="E123">
        <f>HYPERLINK("file:///C:/Users/anye forti/Desktop/2025 FALL/426 COSC/YOLO_TESTING/bbox-snapshots/frame00721_id1751.png", "frame00721_id1751.png")</f>
        <v/>
      </c>
    </row>
    <row r="124">
      <c r="A124" t="n">
        <v>732</v>
      </c>
      <c r="B124" t="n">
        <v>1863</v>
      </c>
      <c r="C124" t="n">
        <v>54960</v>
      </c>
      <c r="D124" t="n">
        <v>1</v>
      </c>
      <c r="E124">
        <f>HYPERLINK("file:///C:/Users/anye forti/Desktop/2025 FALL/426 COSC/YOLO_TESTING/bbox-snapshots/frame00732_id1863.png", "frame00732_id1863.png")</f>
        <v/>
      </c>
    </row>
    <row r="125">
      <c r="A125" t="n">
        <v>746</v>
      </c>
      <c r="B125" t="n">
        <v>1881</v>
      </c>
      <c r="C125" t="n">
        <v>37233</v>
      </c>
      <c r="D125" t="n">
        <v>1</v>
      </c>
      <c r="E125">
        <f>HYPERLINK("file:///C:/Users/anye forti/Desktop/2025 FALL/426 COSC/YOLO_TESTING/bbox-snapshots/frame00746_id1881.png", "frame00746_id1881.png")</f>
        <v/>
      </c>
    </row>
    <row r="126">
      <c r="A126" t="n">
        <v>757</v>
      </c>
      <c r="B126" t="n">
        <v>1900</v>
      </c>
      <c r="C126" t="n">
        <v>59346</v>
      </c>
      <c r="D126" t="n">
        <v>1</v>
      </c>
      <c r="E126">
        <f>HYPERLINK("file:///C:/Users/anye forti/Desktop/2025 FALL/426 COSC/YOLO_TESTING/bbox-snapshots/frame00757_id1900.png", "frame00757_id1900.png")</f>
        <v/>
      </c>
    </row>
    <row r="127">
      <c r="A127" t="n">
        <v>769</v>
      </c>
      <c r="B127" t="n">
        <v>1901</v>
      </c>
      <c r="C127" t="n">
        <v>43472</v>
      </c>
      <c r="D127" t="n">
        <v>1</v>
      </c>
      <c r="E127">
        <f>HYPERLINK("file:///C:/Users/anye forti/Desktop/2025 FALL/426 COSC/YOLO_TESTING/bbox-snapshots/frame00769_id1901.png", "frame00769_id1901.png")</f>
        <v/>
      </c>
    </row>
    <row r="128">
      <c r="A128" t="n">
        <v>776</v>
      </c>
      <c r="B128" t="n">
        <v>1949</v>
      </c>
      <c r="C128" t="n">
        <v>55176</v>
      </c>
      <c r="D128" t="n">
        <v>1</v>
      </c>
      <c r="E128">
        <f>HYPERLINK("file:///C:/Users/anye forti/Desktop/2025 FALL/426 COSC/YOLO_TESTING/bbox-snapshots/frame00776_id1949.png", "frame00776_id1949.png")</f>
        <v/>
      </c>
    </row>
    <row r="129">
      <c r="A129" t="n">
        <v>776</v>
      </c>
      <c r="B129" t="n">
        <v>1912</v>
      </c>
      <c r="C129" t="n">
        <v>37524</v>
      </c>
      <c r="D129" t="n">
        <v>1</v>
      </c>
      <c r="E129">
        <f>HYPERLINK("file:///C:/Users/anye forti/Desktop/2025 FALL/426 COSC/YOLO_TESTING/bbox-snapshots/frame00776_id1912.png", "frame00776_id1912.png")</f>
        <v/>
      </c>
    </row>
    <row r="130">
      <c r="A130" t="n">
        <v>781</v>
      </c>
      <c r="B130" t="n">
        <v>1973</v>
      </c>
      <c r="C130" t="n">
        <v>51054</v>
      </c>
      <c r="D130" t="n">
        <v>1</v>
      </c>
      <c r="E130">
        <f>HYPERLINK("file:///C:/Users/anye forti/Desktop/2025 FALL/426 COSC/YOLO_TESTING/bbox-snapshots/frame00781_id1973.png", "frame00781_id1973.png")</f>
        <v/>
      </c>
    </row>
    <row r="131">
      <c r="A131" t="n">
        <v>783</v>
      </c>
      <c r="B131" t="n">
        <v>1960</v>
      </c>
      <c r="C131" t="n">
        <v>32936</v>
      </c>
      <c r="D131" t="n">
        <v>1</v>
      </c>
      <c r="E131">
        <f>HYPERLINK("file:///C:/Users/anye forti/Desktop/2025 FALL/426 COSC/YOLO_TESTING/bbox-snapshots/frame00783_id1960.png", "frame00783_id1960.png")</f>
        <v/>
      </c>
    </row>
    <row r="132">
      <c r="A132" t="n">
        <v>790</v>
      </c>
      <c r="B132" t="n">
        <v>1970</v>
      </c>
      <c r="C132" t="n">
        <v>56250</v>
      </c>
      <c r="D132" t="n">
        <v>1</v>
      </c>
      <c r="E132">
        <f>HYPERLINK("file:///C:/Users/anye forti/Desktop/2025 FALL/426 COSC/YOLO_TESTING/bbox-snapshots/frame00790_id1970.png", "frame00790_id1970.png")</f>
        <v/>
      </c>
    </row>
    <row r="133">
      <c r="A133" t="n">
        <v>792</v>
      </c>
      <c r="B133" t="n">
        <v>1966</v>
      </c>
      <c r="C133" t="n">
        <v>37312</v>
      </c>
      <c r="D133" t="n">
        <v>1</v>
      </c>
      <c r="E133">
        <f>HYPERLINK("file:///C:/Users/anye forti/Desktop/2025 FALL/426 COSC/YOLO_TESTING/bbox-snapshots/frame00792_id1966.png", "frame00792_id1966.png")</f>
        <v/>
      </c>
    </row>
    <row r="134">
      <c r="A134" t="n">
        <v>800</v>
      </c>
      <c r="B134" t="n">
        <v>1985</v>
      </c>
      <c r="C134" t="n">
        <v>31248</v>
      </c>
      <c r="D134" t="n">
        <v>1</v>
      </c>
      <c r="E134">
        <f>HYPERLINK("file:///C:/Users/anye forti/Desktop/2025 FALL/426 COSC/YOLO_TESTING/bbox-snapshots/frame00800_id1985.png", "frame00800_id1985.png")</f>
        <v/>
      </c>
    </row>
    <row r="135">
      <c r="A135" t="n">
        <v>802</v>
      </c>
      <c r="B135" t="n">
        <v>2009</v>
      </c>
      <c r="C135" t="n">
        <v>19320</v>
      </c>
      <c r="D135" t="n">
        <v>1</v>
      </c>
      <c r="E135">
        <f>HYPERLINK("file:///C:/Users/anye forti/Desktop/2025 FALL/426 COSC/YOLO_TESTING/bbox-snapshots/frame00802_id2009.png", "frame00802_id2009.png")</f>
        <v/>
      </c>
    </row>
    <row r="136">
      <c r="A136" t="n">
        <v>805</v>
      </c>
      <c r="B136" t="n">
        <v>2019</v>
      </c>
      <c r="C136" t="n">
        <v>64934</v>
      </c>
      <c r="D136" t="n">
        <v>2</v>
      </c>
      <c r="E136">
        <f>HYPERLINK("file:///C:/Users/anye forti/Desktop/2025 FALL/426 COSC/YOLO_TESTING/bbox-snapshots/frame00805_id2019.png", "frame00805_id2019.png")</f>
        <v/>
      </c>
    </row>
    <row r="137">
      <c r="A137" t="n">
        <v>809</v>
      </c>
      <c r="B137" t="n">
        <v>2018</v>
      </c>
      <c r="C137" t="n">
        <v>39744</v>
      </c>
      <c r="D137" t="n">
        <v>1</v>
      </c>
      <c r="E137">
        <f>HYPERLINK("file:///C:/Users/anye forti/Desktop/2025 FALL/426 COSC/YOLO_TESTING/bbox-snapshots/frame00809_id2018.png", "frame00809_id2018.png")</f>
        <v/>
      </c>
    </row>
    <row r="138">
      <c r="A138" t="n">
        <v>811</v>
      </c>
      <c r="B138" t="n">
        <v>2013</v>
      </c>
      <c r="C138" t="n">
        <v>44589</v>
      </c>
      <c r="D138" t="n">
        <v>1</v>
      </c>
      <c r="E138">
        <f>HYPERLINK("file:///C:/Users/anye forti/Desktop/2025 FALL/426 COSC/YOLO_TESTING/bbox-snapshots/frame00811_id2013.png", "frame00811_id2013.png")</f>
        <v/>
      </c>
    </row>
    <row r="139">
      <c r="A139" t="n">
        <v>814</v>
      </c>
      <c r="B139" t="n">
        <v>2041</v>
      </c>
      <c r="C139" t="n">
        <v>46872</v>
      </c>
      <c r="D139" t="n">
        <v>1</v>
      </c>
      <c r="E139">
        <f>HYPERLINK("file:///C:/Users/anye forti/Desktop/2025 FALL/426 COSC/YOLO_TESTING/bbox-snapshots/frame00814_id2041.png", "frame00814_id2041.png")</f>
        <v/>
      </c>
    </row>
    <row r="140">
      <c r="A140" t="n">
        <v>819</v>
      </c>
      <c r="B140" t="n">
        <v>2050</v>
      </c>
      <c r="C140" t="n">
        <v>43750</v>
      </c>
      <c r="D140" t="n">
        <v>1</v>
      </c>
      <c r="E140">
        <f>HYPERLINK("file:///C:/Users/anye forti/Desktop/2025 FALL/426 COSC/YOLO_TESTING/bbox-snapshots/frame00819_id2050.png", "frame00819_id2050.png")</f>
        <v/>
      </c>
    </row>
    <row r="141">
      <c r="A141" t="n">
        <v>835</v>
      </c>
      <c r="B141" t="n">
        <v>2079</v>
      </c>
      <c r="C141" t="n">
        <v>48954</v>
      </c>
      <c r="D141" t="n">
        <v>1</v>
      </c>
      <c r="E141">
        <f>HYPERLINK("file:///C:/Users/anye forti/Desktop/2025 FALL/426 COSC/YOLO_TESTING/bbox-snapshots/frame00835_id2079.png", "frame00835_id2079.png")</f>
        <v/>
      </c>
    </row>
    <row r="142">
      <c r="A142" t="n">
        <v>836</v>
      </c>
      <c r="B142" t="n">
        <v>2084</v>
      </c>
      <c r="C142" t="n">
        <v>48750</v>
      </c>
      <c r="D142" t="n">
        <v>1</v>
      </c>
      <c r="E142">
        <f>HYPERLINK("file:///C:/Users/anye forti/Desktop/2025 FALL/426 COSC/YOLO_TESTING/bbox-snapshots/frame00836_id2084.png", "frame00836_id2084.png")</f>
        <v/>
      </c>
    </row>
    <row r="143">
      <c r="A143" t="n">
        <v>843</v>
      </c>
      <c r="B143" t="n">
        <v>2099</v>
      </c>
      <c r="C143" t="n">
        <v>65835</v>
      </c>
      <c r="D143" t="n">
        <v>2</v>
      </c>
      <c r="E143">
        <f>HYPERLINK("file:///C:/Users/anye forti/Desktop/2025 FALL/426 COSC/YOLO_TESTING/bbox-snapshots/frame00843_id2099.png", "frame00843_id2099.png")</f>
        <v/>
      </c>
    </row>
    <row r="144">
      <c r="A144" t="n">
        <v>847</v>
      </c>
      <c r="B144" t="n">
        <v>2123</v>
      </c>
      <c r="C144" t="n">
        <v>49225</v>
      </c>
      <c r="D144" t="n">
        <v>1</v>
      </c>
      <c r="E144">
        <f>HYPERLINK("file:///C:/Users/anye forti/Desktop/2025 FALL/426 COSC/YOLO_TESTING/bbox-snapshots/frame00847_id2123.png", "frame00847_id2123.png")</f>
        <v/>
      </c>
    </row>
    <row r="145">
      <c r="A145" t="n">
        <v>857</v>
      </c>
      <c r="B145" t="n">
        <v>2162</v>
      </c>
      <c r="C145" t="n">
        <v>35844</v>
      </c>
      <c r="D145" t="n">
        <v>1</v>
      </c>
      <c r="E145">
        <f>HYPERLINK("file:///C:/Users/anye forti/Desktop/2025 FALL/426 COSC/YOLO_TESTING/bbox-snapshots/frame00857_id2162.png", "frame00857_id2162.png")</f>
        <v/>
      </c>
    </row>
    <row r="146">
      <c r="A146" t="n">
        <v>860</v>
      </c>
      <c r="B146" t="n">
        <v>2188</v>
      </c>
      <c r="C146" t="n">
        <v>32832</v>
      </c>
      <c r="D146" t="n">
        <v>1</v>
      </c>
      <c r="E146">
        <f>HYPERLINK("file:///C:/Users/anye forti/Desktop/2025 FALL/426 COSC/YOLO_TESTING/bbox-snapshots/frame00860_id2188.png", "frame00860_id2188.png")</f>
        <v/>
      </c>
    </row>
    <row r="147">
      <c r="A147" t="n">
        <v>866</v>
      </c>
      <c r="B147" t="n">
        <v>2194</v>
      </c>
      <c r="C147" t="n">
        <v>46512</v>
      </c>
      <c r="D147" t="n">
        <v>1</v>
      </c>
      <c r="E147">
        <f>HYPERLINK("file:///C:/Users/anye forti/Desktop/2025 FALL/426 COSC/YOLO_TESTING/bbox-snapshots/frame00866_id2194.png", "frame00866_id2194.png")</f>
        <v/>
      </c>
    </row>
    <row r="148">
      <c r="A148" t="n">
        <v>879</v>
      </c>
      <c r="B148" t="n">
        <v>2206</v>
      </c>
      <c r="C148" t="n">
        <v>71272</v>
      </c>
      <c r="D148" t="n">
        <v>2</v>
      </c>
      <c r="E148">
        <f>HYPERLINK("file:///C:/Users/anye forti/Desktop/2025 FALL/426 COSC/YOLO_TESTING/bbox-snapshots/frame00879_id2206.png", "frame00879_id2206.png")</f>
        <v/>
      </c>
    </row>
    <row r="149">
      <c r="A149" t="n">
        <v>884</v>
      </c>
      <c r="B149" t="n">
        <v>2265</v>
      </c>
      <c r="C149" t="n">
        <v>38472</v>
      </c>
      <c r="D149" t="n">
        <v>1</v>
      </c>
      <c r="E149">
        <f>HYPERLINK("file:///C:/Users/anye forti/Desktop/2025 FALL/426 COSC/YOLO_TESTING/bbox-snapshots/frame00884_id2265.png", "frame00884_id2265.png")</f>
        <v/>
      </c>
    </row>
    <row r="150">
      <c r="A150" t="n">
        <v>898</v>
      </c>
      <c r="B150" t="n">
        <v>2267</v>
      </c>
      <c r="C150" t="n">
        <v>47740</v>
      </c>
      <c r="D150" t="n">
        <v>1</v>
      </c>
      <c r="E150">
        <f>HYPERLINK("file:///C:/Users/anye forti/Desktop/2025 FALL/426 COSC/YOLO_TESTING/bbox-snapshots/frame00898_id2267.png", "frame00898_id2267.png")</f>
        <v/>
      </c>
    </row>
    <row r="151">
      <c r="A151" t="n">
        <v>898</v>
      </c>
      <c r="B151" t="n">
        <v>2268</v>
      </c>
      <c r="C151" t="n">
        <v>53985</v>
      </c>
      <c r="D151" t="n">
        <v>1</v>
      </c>
      <c r="E151">
        <f>HYPERLINK("file:///C:/Users/anye forti/Desktop/2025 FALL/426 COSC/YOLO_TESTING/bbox-snapshots/frame00898_id2268.png", "frame00898_id2268.png")</f>
        <v/>
      </c>
    </row>
    <row r="152">
      <c r="A152" t="n">
        <v>898</v>
      </c>
      <c r="B152" t="n">
        <v>2274</v>
      </c>
      <c r="C152" t="n">
        <v>48980</v>
      </c>
      <c r="D152" t="n">
        <v>1</v>
      </c>
      <c r="E152">
        <f>HYPERLINK("file:///C:/Users/anye forti/Desktop/2025 FALL/426 COSC/YOLO_TESTING/bbox-snapshots/frame00898_id2274.png", "frame00898_id2274.png")</f>
        <v/>
      </c>
    </row>
    <row r="153">
      <c r="A153" t="n">
        <v>902</v>
      </c>
      <c r="B153" t="n">
        <v>2312</v>
      </c>
      <c r="C153" t="n">
        <v>15410</v>
      </c>
      <c r="D153" t="n">
        <v>1</v>
      </c>
      <c r="E153">
        <f>HYPERLINK("file:///C:/Users/anye forti/Desktop/2025 FALL/426 COSC/YOLO_TESTING/bbox-snapshots/frame00902_id2312.png", "frame00902_id2312.png")</f>
        <v/>
      </c>
    </row>
    <row r="154">
      <c r="A154" t="n">
        <v>913</v>
      </c>
      <c r="B154" t="n">
        <v>2289</v>
      </c>
      <c r="C154" t="n">
        <v>45368</v>
      </c>
      <c r="D154" t="n">
        <v>1</v>
      </c>
      <c r="E154">
        <f>HYPERLINK("file:///C:/Users/anye forti/Desktop/2025 FALL/426 COSC/YOLO_TESTING/bbox-snapshots/frame00913_id2289.png", "frame00913_id2289.png")</f>
        <v/>
      </c>
    </row>
    <row r="155">
      <c r="A155" t="n">
        <v>915</v>
      </c>
      <c r="B155" t="n">
        <v>2305</v>
      </c>
      <c r="C155" t="n">
        <v>68517</v>
      </c>
      <c r="D155" t="n">
        <v>2</v>
      </c>
      <c r="E155">
        <f>HYPERLINK("file:///C:/Users/anye forti/Desktop/2025 FALL/426 COSC/YOLO_TESTING/bbox-snapshots/frame00915_id2305.png", "frame00915_id2305.png")</f>
        <v/>
      </c>
    </row>
    <row r="156">
      <c r="A156" t="n">
        <v>929</v>
      </c>
      <c r="B156" t="n">
        <v>2355</v>
      </c>
      <c r="C156" t="n">
        <v>42966</v>
      </c>
      <c r="D156" t="n">
        <v>1</v>
      </c>
      <c r="E156">
        <f>HYPERLINK("file:///C:/Users/anye forti/Desktop/2025 FALL/426 COSC/YOLO_TESTING/bbox-snapshots/frame00929_id2355.png", "frame00929_id2355.png")</f>
        <v/>
      </c>
    </row>
    <row r="157">
      <c r="A157" t="n">
        <v>929</v>
      </c>
      <c r="B157" t="n">
        <v>2365</v>
      </c>
      <c r="C157" t="n">
        <v>55926</v>
      </c>
      <c r="D157" t="n">
        <v>1</v>
      </c>
      <c r="E157">
        <f>HYPERLINK("file:///C:/Users/anye forti/Desktop/2025 FALL/426 COSC/YOLO_TESTING/bbox-snapshots/frame00929_id2365.png", "frame00929_id2365.png")</f>
        <v/>
      </c>
    </row>
    <row r="158">
      <c r="A158" t="n">
        <v>935</v>
      </c>
      <c r="B158" t="n">
        <v>2369</v>
      </c>
      <c r="C158" t="n">
        <v>29733</v>
      </c>
      <c r="D158" t="n">
        <v>1</v>
      </c>
      <c r="E158">
        <f>HYPERLINK("file:///C:/Users/anye forti/Desktop/2025 FALL/426 COSC/YOLO_TESTING/bbox-snapshots/frame00935_id2369.png", "frame00935_id2369.png")</f>
        <v/>
      </c>
    </row>
    <row r="159">
      <c r="A159" t="n">
        <v>935</v>
      </c>
      <c r="B159" t="n">
        <v>2379</v>
      </c>
      <c r="C159" t="n">
        <v>24311</v>
      </c>
      <c r="D159" t="n">
        <v>1</v>
      </c>
      <c r="E159">
        <f>HYPERLINK("file:///C:/Users/anye forti/Desktop/2025 FALL/426 COSC/YOLO_TESTING/bbox-snapshots/frame00935_id2379.png", "frame00935_id2379.png")</f>
        <v/>
      </c>
    </row>
    <row r="160">
      <c r="A160" t="n">
        <v>954</v>
      </c>
      <c r="B160" t="n">
        <v>2472</v>
      </c>
      <c r="C160" t="n">
        <v>30545</v>
      </c>
      <c r="D160" t="n">
        <v>1</v>
      </c>
      <c r="E160">
        <f>HYPERLINK("file:///C:/Users/anye forti/Desktop/2025 FALL/426 COSC/YOLO_TESTING/bbox-snapshots/frame00954_id2472.png", "frame00954_id2472.png")</f>
        <v/>
      </c>
    </row>
    <row r="161">
      <c r="A161" t="n">
        <v>961</v>
      </c>
      <c r="B161" t="n">
        <v>2336</v>
      </c>
      <c r="C161" t="n">
        <v>31856</v>
      </c>
      <c r="D161" t="n">
        <v>1</v>
      </c>
      <c r="E161">
        <f>HYPERLINK("file:///C:/Users/anye forti/Desktop/2025 FALL/426 COSC/YOLO_TESTING/bbox-snapshots/frame00961_id2336.png", "frame00961_id2336.png")</f>
        <v/>
      </c>
    </row>
    <row r="162">
      <c r="A162" t="n">
        <v>966</v>
      </c>
      <c r="B162" t="n">
        <v>2451</v>
      </c>
      <c r="C162" t="n">
        <v>36462</v>
      </c>
      <c r="D162" t="n">
        <v>1</v>
      </c>
      <c r="E162">
        <f>HYPERLINK("file:///C:/Users/anye forti/Desktop/2025 FALL/426 COSC/YOLO_TESTING/bbox-snapshots/frame00966_id2451.png", "frame00966_id2451.png")</f>
        <v/>
      </c>
    </row>
    <row r="163">
      <c r="A163" t="n">
        <v>968</v>
      </c>
      <c r="B163" t="n">
        <v>2445</v>
      </c>
      <c r="C163" t="n">
        <v>46458</v>
      </c>
      <c r="D163" t="n">
        <v>1</v>
      </c>
      <c r="E163">
        <f>HYPERLINK("file:///C:/Users/anye forti/Desktop/2025 FALL/426 COSC/YOLO_TESTING/bbox-snapshots/frame00968_id2445.png", "frame00968_id2445.png")</f>
        <v/>
      </c>
    </row>
    <row r="164">
      <c r="A164" t="n">
        <v>968</v>
      </c>
      <c r="B164" t="n">
        <v>2426</v>
      </c>
      <c r="C164" t="n">
        <v>40420</v>
      </c>
      <c r="D164" t="n">
        <v>1</v>
      </c>
      <c r="E164">
        <f>HYPERLINK("file:///C:/Users/anye forti/Desktop/2025 FALL/426 COSC/YOLO_TESTING/bbox-snapshots/frame00968_id2426.png", "frame00968_id2426.png")</f>
        <v/>
      </c>
    </row>
    <row r="165">
      <c r="A165" t="n">
        <v>969</v>
      </c>
      <c r="B165" t="n">
        <v>2470</v>
      </c>
      <c r="C165" t="n">
        <v>19665</v>
      </c>
      <c r="D165" t="n">
        <v>1</v>
      </c>
      <c r="E165">
        <f>HYPERLINK("file:///C:/Users/anye forti/Desktop/2025 FALL/426 COSC/YOLO_TESTING/bbox-snapshots/frame00969_id2470.png", "frame00969_id2470.png")</f>
        <v/>
      </c>
    </row>
    <row r="166">
      <c r="A166" t="n">
        <v>978</v>
      </c>
      <c r="B166" t="n">
        <v>2513</v>
      </c>
      <c r="C166" t="n">
        <v>47264</v>
      </c>
      <c r="D166" t="n">
        <v>1</v>
      </c>
      <c r="E166">
        <f>HYPERLINK("file:///C:/Users/anye forti/Desktop/2025 FALL/426 COSC/YOLO_TESTING/bbox-snapshots/frame00978_id2513.png", "frame00978_id2513.png")</f>
        <v/>
      </c>
    </row>
    <row r="167">
      <c r="A167" t="n">
        <v>984</v>
      </c>
      <c r="B167" t="n">
        <v>2532</v>
      </c>
      <c r="C167" t="n">
        <v>72274</v>
      </c>
      <c r="D167" t="n">
        <v>2</v>
      </c>
      <c r="E167">
        <f>HYPERLINK("file:///C:/Users/anye forti/Desktop/2025 FALL/426 COSC/YOLO_TESTING/bbox-snapshots/frame00984_id2532.png", "frame00984_id2532.png")</f>
        <v/>
      </c>
    </row>
    <row r="168">
      <c r="A168" t="n">
        <v>987</v>
      </c>
      <c r="B168" t="n">
        <v>2534</v>
      </c>
      <c r="C168" t="n">
        <v>40640</v>
      </c>
      <c r="D168" t="n">
        <v>1</v>
      </c>
      <c r="E168">
        <f>HYPERLINK("file:///C:/Users/anye forti/Desktop/2025 FALL/426 COSC/YOLO_TESTING/bbox-snapshots/frame00987_id2534.png", "frame00987_id2534.png")</f>
        <v/>
      </c>
    </row>
    <row r="169">
      <c r="A169" t="n">
        <v>996</v>
      </c>
      <c r="B169" t="n">
        <v>2510</v>
      </c>
      <c r="C169" t="n">
        <v>43806</v>
      </c>
      <c r="D169" t="n">
        <v>1</v>
      </c>
      <c r="E169">
        <f>HYPERLINK("file:///C:/Users/anye forti/Desktop/2025 FALL/426 COSC/YOLO_TESTING/bbox-snapshots/frame00996_id2510.png", "frame00996_id2510.png")</f>
        <v/>
      </c>
    </row>
    <row r="170">
      <c r="A170" t="n">
        <v>1004</v>
      </c>
      <c r="B170" t="n">
        <v>2581</v>
      </c>
      <c r="C170" t="n">
        <v>61620</v>
      </c>
      <c r="D170" t="n">
        <v>2</v>
      </c>
      <c r="E170">
        <f>HYPERLINK("file:///C:/Users/anye forti/Desktop/2025 FALL/426 COSC/YOLO_TESTING/bbox-snapshots/frame01004_id2581.png", "frame01004_id2581.png")</f>
        <v/>
      </c>
    </row>
    <row r="171">
      <c r="A171" t="n">
        <v>1007</v>
      </c>
      <c r="B171" t="n">
        <v>2597</v>
      </c>
      <c r="C171" t="n">
        <v>52934</v>
      </c>
      <c r="D171" t="n">
        <v>1</v>
      </c>
      <c r="E171">
        <f>HYPERLINK("file:///C:/Users/anye forti/Desktop/2025 FALL/426 COSC/YOLO_TESTING/bbox-snapshots/frame01007_id2597.png", "frame01007_id2597.png")</f>
        <v/>
      </c>
    </row>
    <row r="172">
      <c r="A172" t="n">
        <v>1009</v>
      </c>
      <c r="B172" t="n">
        <v>2600</v>
      </c>
      <c r="C172" t="n">
        <v>45267</v>
      </c>
      <c r="D172" t="n">
        <v>1</v>
      </c>
      <c r="E172">
        <f>HYPERLINK("file:///C:/Users/anye forti/Desktop/2025 FALL/426 COSC/YOLO_TESTING/bbox-snapshots/frame01009_id2600.png", "frame01009_id2600.png")</f>
        <v/>
      </c>
    </row>
    <row r="173">
      <c r="A173" t="n">
        <v>1014</v>
      </c>
      <c r="B173" t="n">
        <v>2626</v>
      </c>
      <c r="C173" t="n">
        <v>46982</v>
      </c>
      <c r="D173" t="n">
        <v>1</v>
      </c>
      <c r="E173">
        <f>HYPERLINK("file:///C:/Users/anye forti/Desktop/2025 FALL/426 COSC/YOLO_TESTING/bbox-snapshots/frame01014_id2626.png", "frame01014_id2626.png")</f>
        <v/>
      </c>
    </row>
    <row r="174">
      <c r="A174" t="n">
        <v>1018</v>
      </c>
      <c r="B174" t="n">
        <v>2641</v>
      </c>
      <c r="C174" t="n">
        <v>33043</v>
      </c>
      <c r="D174" t="n">
        <v>1</v>
      </c>
      <c r="E174">
        <f>HYPERLINK("file:///C:/Users/anye forti/Desktop/2025 FALL/426 COSC/YOLO_TESTING/bbox-snapshots/frame01018_id2641.png", "frame01018_id2641.png")</f>
        <v/>
      </c>
    </row>
    <row r="175">
      <c r="A175" t="n">
        <v>1018</v>
      </c>
      <c r="B175" t="n">
        <v>2645</v>
      </c>
      <c r="C175" t="n">
        <v>54014</v>
      </c>
      <c r="D175" t="n">
        <v>1</v>
      </c>
      <c r="E175">
        <f>HYPERLINK("file:///C:/Users/anye forti/Desktop/2025 FALL/426 COSC/YOLO_TESTING/bbox-snapshots/frame01018_id2645.png", "frame01018_id2645.png")</f>
        <v/>
      </c>
    </row>
    <row r="176">
      <c r="A176" t="n">
        <v>1024</v>
      </c>
      <c r="B176" t="n">
        <v>2650</v>
      </c>
      <c r="C176" t="n">
        <v>51678</v>
      </c>
      <c r="D176" t="n">
        <v>1</v>
      </c>
      <c r="E176">
        <f>HYPERLINK("file:///C:/Users/anye forti/Desktop/2025 FALL/426 COSC/YOLO_TESTING/bbox-snapshots/frame01024_id2650.png", "frame01024_id2650.png")</f>
        <v/>
      </c>
    </row>
    <row r="177">
      <c r="A177" t="n">
        <v>1025</v>
      </c>
      <c r="B177" t="n">
        <v>2668</v>
      </c>
      <c r="C177" t="n">
        <v>51120</v>
      </c>
      <c r="D177" t="n">
        <v>1</v>
      </c>
      <c r="E177">
        <f>HYPERLINK("file:///C:/Users/anye forti/Desktop/2025 FALL/426 COSC/YOLO_TESTING/bbox-snapshots/frame01025_id2668.png", "frame01025_id2668.png")</f>
        <v/>
      </c>
    </row>
    <row r="178">
      <c r="A178" t="n">
        <v>1035</v>
      </c>
      <c r="B178" t="n">
        <v>2683</v>
      </c>
      <c r="C178" t="n">
        <v>42900</v>
      </c>
      <c r="D178" t="n">
        <v>1</v>
      </c>
      <c r="E178">
        <f>HYPERLINK("file:///C:/Users/anye forti/Desktop/2025 FALL/426 COSC/YOLO_TESTING/bbox-snapshots/frame01035_id2683.png", "frame01035_id2683.png")</f>
        <v/>
      </c>
    </row>
    <row r="179">
      <c r="A179" t="n">
        <v>1040</v>
      </c>
      <c r="B179" t="n">
        <v>2709</v>
      </c>
      <c r="C179" t="n">
        <v>34410</v>
      </c>
      <c r="D179" t="n">
        <v>1</v>
      </c>
      <c r="E179">
        <f>HYPERLINK("file:///C:/Users/anye forti/Desktop/2025 FALL/426 COSC/YOLO_TESTING/bbox-snapshots/frame01040_id2709.png", "frame01040_id2709.png")</f>
        <v/>
      </c>
    </row>
    <row r="180">
      <c r="A180" t="n">
        <v>1054</v>
      </c>
      <c r="B180" t="n">
        <v>2735</v>
      </c>
      <c r="C180" t="n">
        <v>61217</v>
      </c>
      <c r="D180" t="n">
        <v>2</v>
      </c>
      <c r="E180">
        <f>HYPERLINK("file:///C:/Users/anye forti/Desktop/2025 FALL/426 COSC/YOLO_TESTING/bbox-snapshots/frame01054_id2735.png", "frame01054_id2735.png")</f>
        <v/>
      </c>
    </row>
    <row r="181">
      <c r="A181" t="n">
        <v>1057</v>
      </c>
      <c r="B181" t="n">
        <v>2783</v>
      </c>
      <c r="C181" t="n">
        <v>62916</v>
      </c>
      <c r="D181" t="n">
        <v>2</v>
      </c>
      <c r="E181">
        <f>HYPERLINK("file:///C:/Users/anye forti/Desktop/2025 FALL/426 COSC/YOLO_TESTING/bbox-snapshots/frame01057_id2783.png", "frame01057_id2783.png")</f>
        <v/>
      </c>
    </row>
    <row r="182">
      <c r="A182" t="n">
        <v>1058</v>
      </c>
      <c r="B182" t="n">
        <v>2807</v>
      </c>
      <c r="C182" t="n">
        <v>38380</v>
      </c>
      <c r="D182" t="n">
        <v>1</v>
      </c>
      <c r="E182">
        <f>HYPERLINK("file:///C:/Users/anye forti/Desktop/2025 FALL/426 COSC/YOLO_TESTING/bbox-snapshots/frame01058_id2807.png", "frame01058_id2807.png")</f>
        <v/>
      </c>
    </row>
    <row r="183">
      <c r="A183" t="n">
        <v>1060</v>
      </c>
      <c r="B183" t="n">
        <v>2758</v>
      </c>
      <c r="C183" t="n">
        <v>60702</v>
      </c>
      <c r="D183" t="n">
        <v>2</v>
      </c>
      <c r="E183">
        <f>HYPERLINK("file:///C:/Users/anye forti/Desktop/2025 FALL/426 COSC/YOLO_TESTING/bbox-snapshots/frame01060_id2758.png", "frame01060_id2758.png")</f>
        <v/>
      </c>
    </row>
    <row r="184">
      <c r="A184" t="n">
        <v>1061</v>
      </c>
      <c r="B184" t="n">
        <v>2786</v>
      </c>
      <c r="C184" t="n">
        <v>17199</v>
      </c>
      <c r="D184" t="n">
        <v>1</v>
      </c>
      <c r="E184">
        <f>HYPERLINK("file:///C:/Users/anye forti/Desktop/2025 FALL/426 COSC/YOLO_TESTING/bbox-snapshots/frame01061_id2786.png", "frame01061_id2786.png")</f>
        <v/>
      </c>
    </row>
    <row r="185">
      <c r="A185" t="n">
        <v>1073</v>
      </c>
      <c r="B185" t="n">
        <v>2792</v>
      </c>
      <c r="C185" t="n">
        <v>59625</v>
      </c>
      <c r="D185" t="n">
        <v>2</v>
      </c>
      <c r="E185">
        <f>HYPERLINK("file:///C:/Users/anye forti/Desktop/2025 FALL/426 COSC/YOLO_TESTING/bbox-snapshots/frame01073_id2792.png", "frame01073_id2792.png")</f>
        <v/>
      </c>
    </row>
    <row r="186">
      <c r="A186" t="n">
        <v>1087</v>
      </c>
      <c r="B186" t="n">
        <v>2838</v>
      </c>
      <c r="C186" t="n">
        <v>53600</v>
      </c>
      <c r="D186" t="n">
        <v>1</v>
      </c>
      <c r="E186">
        <f>HYPERLINK("file:///C:/Users/anye forti/Desktop/2025 FALL/426 COSC/YOLO_TESTING/bbox-snapshots/frame01087_id2838.png", "frame01087_id2838.png")</f>
        <v/>
      </c>
    </row>
    <row r="187">
      <c r="A187" t="n">
        <v>1088</v>
      </c>
      <c r="B187" t="n">
        <v>2873</v>
      </c>
      <c r="C187" t="n">
        <v>17442</v>
      </c>
      <c r="D187" t="n">
        <v>1</v>
      </c>
      <c r="E187">
        <f>HYPERLINK("file:///C:/Users/anye forti/Desktop/2025 FALL/426 COSC/YOLO_TESTING/bbox-snapshots/frame01088_id2873.png", "frame01088_id2873.png")</f>
        <v/>
      </c>
    </row>
    <row r="188">
      <c r="A188" t="n">
        <v>1092</v>
      </c>
      <c r="B188" t="n">
        <v>2817</v>
      </c>
      <c r="C188" t="n">
        <v>52256</v>
      </c>
      <c r="D188" t="n">
        <v>1</v>
      </c>
      <c r="E188">
        <f>HYPERLINK("file:///C:/Users/anye forti/Desktop/2025 FALL/426 COSC/YOLO_TESTING/bbox-snapshots/frame01092_id2817.png", "frame01092_id2817.png")</f>
        <v/>
      </c>
    </row>
    <row r="189">
      <c r="A189" t="n">
        <v>1093</v>
      </c>
      <c r="B189" t="n">
        <v>2843</v>
      </c>
      <c r="C189" t="n">
        <v>49256</v>
      </c>
      <c r="D189" t="n">
        <v>1</v>
      </c>
      <c r="E189">
        <f>HYPERLINK("file:///C:/Users/anye forti/Desktop/2025 FALL/426 COSC/YOLO_TESTING/bbox-snapshots/frame01093_id2843.png", "frame01093_id2843.png")</f>
        <v/>
      </c>
    </row>
    <row r="190">
      <c r="A190" t="n">
        <v>1096</v>
      </c>
      <c r="B190" t="n">
        <v>2916</v>
      </c>
      <c r="C190" t="n">
        <v>34937</v>
      </c>
      <c r="D190" t="n">
        <v>1</v>
      </c>
      <c r="E190">
        <f>HYPERLINK("file:///C:/Users/anye forti/Desktop/2025 FALL/426 COSC/YOLO_TESTING/bbox-snapshots/frame01096_id2916.png", "frame01096_id2916.png")</f>
        <v/>
      </c>
    </row>
    <row r="191">
      <c r="A191" t="n">
        <v>1102</v>
      </c>
      <c r="B191" t="n">
        <v>2917</v>
      </c>
      <c r="C191" t="n">
        <v>47320</v>
      </c>
      <c r="D191" t="n">
        <v>1</v>
      </c>
      <c r="E191">
        <f>HYPERLINK("file:///C:/Users/anye forti/Desktop/2025 FALL/426 COSC/YOLO_TESTING/bbox-snapshots/frame01102_id2917.png", "frame01102_id2917.png")</f>
        <v/>
      </c>
    </row>
    <row r="192">
      <c r="A192" t="n">
        <v>1107</v>
      </c>
      <c r="B192" t="n">
        <v>2941</v>
      </c>
      <c r="C192" t="n">
        <v>31758</v>
      </c>
      <c r="D192" t="n">
        <v>1</v>
      </c>
      <c r="E192">
        <f>HYPERLINK("file:///C:/Users/anye forti/Desktop/2025 FALL/426 COSC/YOLO_TESTING/bbox-snapshots/frame01107_id2941.png", "frame01107_id2941.png")</f>
        <v/>
      </c>
    </row>
    <row r="193">
      <c r="A193" t="n">
        <v>1108</v>
      </c>
      <c r="B193" t="n">
        <v>2919</v>
      </c>
      <c r="C193" t="n">
        <v>51920</v>
      </c>
      <c r="D193" t="n">
        <v>1</v>
      </c>
      <c r="E193">
        <f>HYPERLINK("file:///C:/Users/anye forti/Desktop/2025 FALL/426 COSC/YOLO_TESTING/bbox-snapshots/frame01108_id2919.png", "frame01108_id2919.png")</f>
        <v/>
      </c>
    </row>
    <row r="194">
      <c r="A194" t="n">
        <v>1114</v>
      </c>
      <c r="B194" t="n">
        <v>3028</v>
      </c>
      <c r="C194" t="n">
        <v>35298</v>
      </c>
      <c r="D194" t="n">
        <v>1</v>
      </c>
      <c r="E194">
        <f>HYPERLINK("file:///C:/Users/anye forti/Desktop/2025 FALL/426 COSC/YOLO_TESTING/bbox-snapshots/frame01114_id3028.png", "frame01114_id3028.png")</f>
        <v/>
      </c>
    </row>
    <row r="195">
      <c r="A195" t="n">
        <v>1118</v>
      </c>
      <c r="B195" t="n">
        <v>2940</v>
      </c>
      <c r="C195" t="n">
        <v>32256</v>
      </c>
      <c r="D195" t="n">
        <v>1</v>
      </c>
      <c r="E195">
        <f>HYPERLINK("file:///C:/Users/anye forti/Desktop/2025 FALL/426 COSC/YOLO_TESTING/bbox-snapshots/frame01118_id2940.png", "frame01118_id2940.png")</f>
        <v/>
      </c>
    </row>
    <row r="196">
      <c r="A196" t="n">
        <v>1118</v>
      </c>
      <c r="B196" t="n">
        <v>3011</v>
      </c>
      <c r="C196" t="n">
        <v>39150</v>
      </c>
      <c r="D196" t="n">
        <v>1</v>
      </c>
      <c r="E196">
        <f>HYPERLINK("file:///C:/Users/anye forti/Desktop/2025 FALL/426 COSC/YOLO_TESTING/bbox-snapshots/frame01118_id3011.png", "frame01118_id3011.png")</f>
        <v/>
      </c>
    </row>
    <row r="197">
      <c r="A197" t="n">
        <v>1123</v>
      </c>
      <c r="B197" t="n">
        <v>2989</v>
      </c>
      <c r="C197" t="n">
        <v>35742</v>
      </c>
      <c r="D197" t="n">
        <v>1</v>
      </c>
      <c r="E197">
        <f>HYPERLINK("file:///C:/Users/anye forti/Desktop/2025 FALL/426 COSC/YOLO_TESTING/bbox-snapshots/frame01123_id2989.png", "frame01123_id2989.png")</f>
        <v/>
      </c>
    </row>
    <row r="198">
      <c r="A198" t="n">
        <v>1128</v>
      </c>
      <c r="B198" t="n">
        <v>3008</v>
      </c>
      <c r="C198" t="n">
        <v>58265</v>
      </c>
      <c r="D198" t="n">
        <v>1</v>
      </c>
      <c r="E198">
        <f>HYPERLINK("file:///C:/Users/anye forti/Desktop/2025 FALL/426 COSC/YOLO_TESTING/bbox-snapshots/frame01128_id3008.png", "frame01128_id3008.png")</f>
        <v/>
      </c>
    </row>
    <row r="199">
      <c r="A199" t="n">
        <v>1136</v>
      </c>
      <c r="B199" t="n">
        <v>2999</v>
      </c>
      <c r="C199" t="n">
        <v>30240</v>
      </c>
      <c r="D199" t="n">
        <v>1</v>
      </c>
      <c r="E199">
        <f>HYPERLINK("file:///C:/Users/anye forti/Desktop/2025 FALL/426 COSC/YOLO_TESTING/bbox-snapshots/frame01136_id2999.png", "frame01136_id2999.png")</f>
        <v/>
      </c>
    </row>
    <row r="200">
      <c r="A200" t="n">
        <v>1140</v>
      </c>
      <c r="B200" t="n">
        <v>3117</v>
      </c>
      <c r="C200" t="n">
        <v>74176</v>
      </c>
      <c r="D200" t="n">
        <v>2</v>
      </c>
      <c r="E200">
        <f>HYPERLINK("file:///C:/Users/anye forti/Desktop/2025 FALL/426 COSC/YOLO_TESTING/bbox-snapshots/frame01140_id3117.png", "frame01140_id3117.png")</f>
        <v/>
      </c>
    </row>
    <row r="201">
      <c r="A201" t="n">
        <v>1140</v>
      </c>
      <c r="B201" t="n">
        <v>3080</v>
      </c>
      <c r="C201" t="n">
        <v>16986</v>
      </c>
      <c r="D201" t="n">
        <v>1</v>
      </c>
      <c r="E201">
        <f>HYPERLINK("file:///C:/Users/anye forti/Desktop/2025 FALL/426 COSC/YOLO_TESTING/bbox-snapshots/frame01140_id3080.png", "frame01140_id3080.png")</f>
        <v/>
      </c>
    </row>
    <row r="202">
      <c r="A202" t="n">
        <v>1151</v>
      </c>
      <c r="B202" t="n">
        <v>3116</v>
      </c>
      <c r="C202" t="n">
        <v>37674</v>
      </c>
      <c r="D202" t="n">
        <v>1</v>
      </c>
      <c r="E202">
        <f>HYPERLINK("file:///C:/Users/anye forti/Desktop/2025 FALL/426 COSC/YOLO_TESTING/bbox-snapshots/frame01151_id3116.png", "frame01151_id3116.png")</f>
        <v/>
      </c>
    </row>
    <row r="203">
      <c r="A203" t="n">
        <v>1154</v>
      </c>
      <c r="B203" t="n">
        <v>3143</v>
      </c>
      <c r="C203" t="n">
        <v>13320</v>
      </c>
      <c r="D203" t="n">
        <v>1</v>
      </c>
      <c r="E203">
        <f>HYPERLINK("file:///C:/Users/anye forti/Desktop/2025 FALL/426 COSC/YOLO_TESTING/bbox-snapshots/frame01154_id3143.png", "frame01154_id3143.png")</f>
        <v/>
      </c>
    </row>
    <row r="204">
      <c r="A204" t="n">
        <v>1158</v>
      </c>
      <c r="B204" t="n">
        <v>3098</v>
      </c>
      <c r="C204" t="n">
        <v>21684</v>
      </c>
      <c r="D204" t="n">
        <v>1</v>
      </c>
      <c r="E204">
        <f>HYPERLINK("file:///C:/Users/anye forti/Desktop/2025 FALL/426 COSC/YOLO_TESTING/bbox-snapshots/frame01158_id3098.png", "frame01158_id3098.png")</f>
        <v/>
      </c>
    </row>
    <row r="205">
      <c r="A205" t="n">
        <v>1166</v>
      </c>
      <c r="B205" t="n">
        <v>3169</v>
      </c>
      <c r="C205" t="n">
        <v>46332</v>
      </c>
      <c r="D205" t="n">
        <v>1</v>
      </c>
      <c r="E205">
        <f>HYPERLINK("file:///C:/Users/anye forti/Desktop/2025 FALL/426 COSC/YOLO_TESTING/bbox-snapshots/frame01166_id3169.png", "frame01166_id3169.png")</f>
        <v/>
      </c>
    </row>
    <row r="206">
      <c r="A206" t="n">
        <v>1167</v>
      </c>
      <c r="B206" t="n">
        <v>3172</v>
      </c>
      <c r="C206" t="n">
        <v>46216</v>
      </c>
      <c r="D206" t="n">
        <v>1</v>
      </c>
      <c r="E206">
        <f>HYPERLINK("file:///C:/Users/anye forti/Desktop/2025 FALL/426 COSC/YOLO_TESTING/bbox-snapshots/frame01167_id3172.png", "frame01167_id3172.png")</f>
        <v/>
      </c>
    </row>
    <row r="207">
      <c r="A207" t="n">
        <v>1173</v>
      </c>
      <c r="B207" t="n">
        <v>3232</v>
      </c>
      <c r="C207" t="n">
        <v>29862</v>
      </c>
      <c r="D207" t="n">
        <v>1</v>
      </c>
      <c r="E207">
        <f>HYPERLINK("file:///C:/Users/anye forti/Desktop/2025 FALL/426 COSC/YOLO_TESTING/bbox-snapshots/frame01173_id3232.png", "frame01173_id3232.png")</f>
        <v/>
      </c>
    </row>
    <row r="208">
      <c r="A208" t="n">
        <v>1173</v>
      </c>
      <c r="B208" t="n">
        <v>3175</v>
      </c>
      <c r="C208" t="n">
        <v>37449</v>
      </c>
      <c r="D208" t="n">
        <v>1</v>
      </c>
      <c r="E208">
        <f>HYPERLINK("file:///C:/Users/anye forti/Desktop/2025 FALL/426 COSC/YOLO_TESTING/bbox-snapshots/frame01173_id3175.png", "frame01173_id3175.png")</f>
        <v/>
      </c>
    </row>
    <row r="209">
      <c r="A209" t="n">
        <v>1188</v>
      </c>
      <c r="B209" t="n">
        <v>3248</v>
      </c>
      <c r="C209" t="n">
        <v>63800</v>
      </c>
      <c r="D209" t="n">
        <v>2</v>
      </c>
      <c r="E209">
        <f>HYPERLINK("file:///C:/Users/anye forti/Desktop/2025 FALL/426 COSC/YOLO_TESTING/bbox-snapshots/frame01188_id3248.png", "frame01188_id3248.png")</f>
        <v/>
      </c>
    </row>
    <row r="210">
      <c r="A210" t="n">
        <v>1190</v>
      </c>
      <c r="B210" t="n">
        <v>3218</v>
      </c>
      <c r="C210" t="n">
        <v>59295</v>
      </c>
      <c r="D210" t="n">
        <v>1</v>
      </c>
      <c r="E210">
        <f>HYPERLINK("file:///C:/Users/anye forti/Desktop/2025 FALL/426 COSC/YOLO_TESTING/bbox-snapshots/frame01190_id3218.png", "frame01190_id3218.png")</f>
        <v/>
      </c>
    </row>
    <row r="211">
      <c r="A211" t="n">
        <v>1193</v>
      </c>
      <c r="B211" t="n">
        <v>3206</v>
      </c>
      <c r="C211" t="n">
        <v>23184</v>
      </c>
      <c r="D211" t="n">
        <v>1</v>
      </c>
      <c r="E211">
        <f>HYPERLINK("file:///C:/Users/anye forti/Desktop/2025 FALL/426 COSC/YOLO_TESTING/bbox-snapshots/frame01193_id3206.png", "frame01193_id3206.png")</f>
        <v/>
      </c>
    </row>
    <row r="212">
      <c r="A212" t="n">
        <v>1194</v>
      </c>
      <c r="B212" t="n">
        <v>3240</v>
      </c>
      <c r="C212" t="n">
        <v>43450</v>
      </c>
      <c r="D212" t="n">
        <v>1</v>
      </c>
      <c r="E212">
        <f>HYPERLINK("file:///C:/Users/anye forti/Desktop/2025 FALL/426 COSC/YOLO_TESTING/bbox-snapshots/frame01194_id3240.png", "frame01194_id3240.png")</f>
        <v/>
      </c>
    </row>
    <row r="213">
      <c r="A213" t="n">
        <v>1198</v>
      </c>
      <c r="B213" t="n">
        <v>3257</v>
      </c>
      <c r="C213" t="n">
        <v>38014</v>
      </c>
      <c r="D213" t="n">
        <v>1</v>
      </c>
      <c r="E213">
        <f>HYPERLINK("file:///C:/Users/anye forti/Desktop/2025 FALL/426 COSC/YOLO_TESTING/bbox-snapshots/frame01198_id3257.png", "frame01198_id3257.png")</f>
        <v/>
      </c>
    </row>
    <row r="214">
      <c r="A214" t="n">
        <v>1208</v>
      </c>
      <c r="B214" t="n">
        <v>3298</v>
      </c>
      <c r="C214" t="n">
        <v>71040</v>
      </c>
      <c r="D214" t="n">
        <v>2</v>
      </c>
      <c r="E214">
        <f>HYPERLINK("file:///C:/Users/anye forti/Desktop/2025 FALL/426 COSC/YOLO_TESTING/bbox-snapshots/frame01208_id3298.png", "frame01208_id3298.png")</f>
        <v/>
      </c>
    </row>
    <row r="215">
      <c r="A215" t="n">
        <v>1212</v>
      </c>
      <c r="B215" t="n">
        <v>3302</v>
      </c>
      <c r="C215" t="n">
        <v>30810</v>
      </c>
      <c r="D215" t="n">
        <v>1</v>
      </c>
      <c r="E215">
        <f>HYPERLINK("file:///C:/Users/anye forti/Desktop/2025 FALL/426 COSC/YOLO_TESTING/bbox-snapshots/frame01212_id3302.png", "frame01212_id3302.png")</f>
        <v/>
      </c>
    </row>
    <row r="216">
      <c r="A216" t="n">
        <v>1224</v>
      </c>
      <c r="B216" t="n">
        <v>3317</v>
      </c>
      <c r="C216" t="n">
        <v>55008</v>
      </c>
      <c r="D216" t="n">
        <v>1</v>
      </c>
      <c r="E216">
        <f>HYPERLINK("file:///C:/Users/anye forti/Desktop/2025 FALL/426 COSC/YOLO_TESTING/bbox-snapshots/frame01224_id3317.png", "frame01224_id3317.png")</f>
        <v/>
      </c>
    </row>
    <row r="217">
      <c r="A217" t="n">
        <v>1225</v>
      </c>
      <c r="B217" t="n">
        <v>3328</v>
      </c>
      <c r="C217" t="n">
        <v>44055</v>
      </c>
      <c r="D217" t="n">
        <v>1</v>
      </c>
      <c r="E217">
        <f>HYPERLINK("file:///C:/Users/anye forti/Desktop/2025 FALL/426 COSC/YOLO_TESTING/bbox-snapshots/frame01225_id3328.png", "frame01225_id3328.png")</f>
        <v/>
      </c>
    </row>
    <row r="218">
      <c r="A218" t="n">
        <v>1231</v>
      </c>
      <c r="B218" t="n">
        <v>3341</v>
      </c>
      <c r="C218" t="n">
        <v>64581</v>
      </c>
      <c r="D218" t="n">
        <v>2</v>
      </c>
      <c r="E218">
        <f>HYPERLINK("file:///C:/Users/anye forti/Desktop/2025 FALL/426 COSC/YOLO_TESTING/bbox-snapshots/frame01231_id3341.png", "frame01231_id3341.png")</f>
        <v/>
      </c>
    </row>
    <row r="219">
      <c r="A219" t="n">
        <v>1231</v>
      </c>
      <c r="B219" t="n">
        <v>3349</v>
      </c>
      <c r="C219" t="n">
        <v>49296</v>
      </c>
      <c r="D219" t="n">
        <v>1</v>
      </c>
      <c r="E219">
        <f>HYPERLINK("file:///C:/Users/anye forti/Desktop/2025 FALL/426 COSC/YOLO_TESTING/bbox-snapshots/frame01231_id3349.png", "frame01231_id3349.png")</f>
        <v/>
      </c>
    </row>
    <row r="220">
      <c r="A220" t="n">
        <v>1244</v>
      </c>
      <c r="B220" t="n">
        <v>3380</v>
      </c>
      <c r="C220" t="n">
        <v>34400</v>
      </c>
      <c r="D220" t="n">
        <v>1</v>
      </c>
      <c r="E220">
        <f>HYPERLINK("file:///C:/Users/anye forti/Desktop/2025 FALL/426 COSC/YOLO_TESTING/bbox-snapshots/frame01244_id3380.png", "frame01244_id3380.png")</f>
        <v/>
      </c>
    </row>
    <row r="221">
      <c r="A221" t="n">
        <v>1246</v>
      </c>
      <c r="B221" t="n">
        <v>3438</v>
      </c>
      <c r="C221" t="n">
        <v>54225</v>
      </c>
      <c r="D221" t="n">
        <v>1</v>
      </c>
      <c r="E221">
        <f>HYPERLINK("file:///C:/Users/anye forti/Desktop/2025 FALL/426 COSC/YOLO_TESTING/bbox-snapshots/frame01246_id3438.png", "frame01246_id3438.png")</f>
        <v/>
      </c>
    </row>
    <row r="222">
      <c r="A222" t="n">
        <v>1252</v>
      </c>
      <c r="B222" t="n">
        <v>3378</v>
      </c>
      <c r="C222" t="n">
        <v>56700</v>
      </c>
      <c r="D222" t="n">
        <v>1</v>
      </c>
      <c r="E222">
        <f>HYPERLINK("file:///C:/Users/anye forti/Desktop/2025 FALL/426 COSC/YOLO_TESTING/bbox-snapshots/frame01252_id3378.png", "frame01252_id3378.png")</f>
        <v/>
      </c>
    </row>
    <row r="223">
      <c r="A223" t="n">
        <v>1260</v>
      </c>
      <c r="B223" t="n">
        <v>3418</v>
      </c>
      <c r="C223" t="n">
        <v>46870</v>
      </c>
      <c r="D223" t="n">
        <v>1</v>
      </c>
      <c r="E223">
        <f>HYPERLINK("file:///C:/Users/anye forti/Desktop/2025 FALL/426 COSC/YOLO_TESTING/bbox-snapshots/frame01260_id3418.png", "frame01260_id3418.png")</f>
        <v/>
      </c>
    </row>
    <row r="224">
      <c r="A224" t="n">
        <v>1262</v>
      </c>
      <c r="B224" t="n">
        <v>3462</v>
      </c>
      <c r="C224" t="n">
        <v>33294</v>
      </c>
      <c r="D224" t="n">
        <v>1</v>
      </c>
      <c r="E224">
        <f>HYPERLINK("file:///C:/Users/anye forti/Desktop/2025 FALL/426 COSC/YOLO_TESTING/bbox-snapshots/frame01262_id3462.png", "frame01262_id3462.png")</f>
        <v/>
      </c>
    </row>
    <row r="225">
      <c r="A225" t="n">
        <v>1272</v>
      </c>
      <c r="B225" t="n">
        <v>3483</v>
      </c>
      <c r="C225" t="n">
        <v>57190</v>
      </c>
      <c r="D225" t="n">
        <v>1</v>
      </c>
      <c r="E225">
        <f>HYPERLINK("file:///C:/Users/anye forti/Desktop/2025 FALL/426 COSC/YOLO_TESTING/bbox-snapshots/frame01272_id3483.png", "frame01272_id3483.png")</f>
        <v/>
      </c>
    </row>
    <row r="226">
      <c r="A226" t="n">
        <v>1278</v>
      </c>
      <c r="B226" t="n">
        <v>3507</v>
      </c>
      <c r="C226" t="n">
        <v>44496</v>
      </c>
      <c r="D226" t="n">
        <v>1</v>
      </c>
      <c r="E226">
        <f>HYPERLINK("file:///C:/Users/anye forti/Desktop/2025 FALL/426 COSC/YOLO_TESTING/bbox-snapshots/frame01278_id3507.png", "frame01278_id3507.png")</f>
        <v/>
      </c>
    </row>
    <row r="227">
      <c r="A227" t="n">
        <v>1279</v>
      </c>
      <c r="B227" t="n">
        <v>3512</v>
      </c>
      <c r="C227" t="n">
        <v>44745</v>
      </c>
      <c r="D227" t="n">
        <v>1</v>
      </c>
      <c r="E227">
        <f>HYPERLINK("file:///C:/Users/anye forti/Desktop/2025 FALL/426 COSC/YOLO_TESTING/bbox-snapshots/frame01279_id3512.png", "frame01279_id3512.png")</f>
        <v/>
      </c>
    </row>
    <row r="228">
      <c r="A228" t="n">
        <v>1288</v>
      </c>
      <c r="B228" t="n">
        <v>3533</v>
      </c>
      <c r="C228" t="n">
        <v>49572</v>
      </c>
      <c r="D228" t="n">
        <v>1</v>
      </c>
      <c r="E228">
        <f>HYPERLINK("file:///C:/Users/anye forti/Desktop/2025 FALL/426 COSC/YOLO_TESTING/bbox-snapshots/frame01288_id3533.png", "frame01288_id3533.png")</f>
        <v/>
      </c>
    </row>
    <row r="229">
      <c r="A229" t="n">
        <v>1296</v>
      </c>
      <c r="B229" t="n">
        <v>3542</v>
      </c>
      <c r="C229" t="n">
        <v>62618</v>
      </c>
      <c r="D229" t="n">
        <v>2</v>
      </c>
      <c r="E229">
        <f>HYPERLINK("file:///C:/Users/anye forti/Desktop/2025 FALL/426 COSC/YOLO_TESTING/bbox-snapshots/frame01296_id3542.png", "frame01296_id3542.png")</f>
        <v/>
      </c>
    </row>
    <row r="230">
      <c r="A230" t="n">
        <v>1307</v>
      </c>
      <c r="B230" t="n">
        <v>3596</v>
      </c>
      <c r="C230" t="n">
        <v>30000</v>
      </c>
      <c r="D230" t="n">
        <v>1</v>
      </c>
      <c r="E230">
        <f>HYPERLINK("file:///C:/Users/anye forti/Desktop/2025 FALL/426 COSC/YOLO_TESTING/bbox-snapshots/frame01307_id3596.png", "frame01307_id3596.png")</f>
        <v/>
      </c>
    </row>
    <row r="231">
      <c r="A231" t="n">
        <v>1308</v>
      </c>
      <c r="B231" t="n">
        <v>3583</v>
      </c>
      <c r="C231" t="n">
        <v>45318</v>
      </c>
      <c r="D231" t="n">
        <v>1</v>
      </c>
      <c r="E231">
        <f>HYPERLINK("file:///C:/Users/anye forti/Desktop/2025 FALL/426 COSC/YOLO_TESTING/bbox-snapshots/frame01308_id3583.png", "frame01308_id3583.png")</f>
        <v/>
      </c>
    </row>
    <row r="232">
      <c r="A232" t="n">
        <v>1313</v>
      </c>
      <c r="B232" t="n">
        <v>3601</v>
      </c>
      <c r="C232" t="n">
        <v>28188</v>
      </c>
      <c r="D232" t="n">
        <v>1</v>
      </c>
      <c r="E232">
        <f>HYPERLINK("file:///C:/Users/anye forti/Desktop/2025 FALL/426 COSC/YOLO_TESTING/bbox-snapshots/frame01313_id3601.png", "frame01313_id3601.png")</f>
        <v/>
      </c>
    </row>
    <row r="233">
      <c r="A233" t="n">
        <v>1322</v>
      </c>
      <c r="B233" t="n">
        <v>3636</v>
      </c>
      <c r="C233" t="n">
        <v>60358</v>
      </c>
      <c r="D233" t="n">
        <v>2</v>
      </c>
      <c r="E233">
        <f>HYPERLINK("file:///C:/Users/anye forti/Desktop/2025 FALL/426 COSC/YOLO_TESTING/bbox-snapshots/frame01322_id3636.png", "frame01322_id3636.png")</f>
        <v/>
      </c>
    </row>
    <row r="234">
      <c r="A234" t="n">
        <v>1323</v>
      </c>
      <c r="B234" t="n">
        <v>3653</v>
      </c>
      <c r="C234" t="n">
        <v>63281</v>
      </c>
      <c r="D234" t="n">
        <v>2</v>
      </c>
      <c r="E234">
        <f>HYPERLINK("file:///C:/Users/anye forti/Desktop/2025 FALL/426 COSC/YOLO_TESTING/bbox-snapshots/frame01323_id3653.png", "frame01323_id3653.png")</f>
        <v/>
      </c>
    </row>
    <row r="235">
      <c r="A235" t="n">
        <v>1331</v>
      </c>
      <c r="B235" t="n">
        <v>3610</v>
      </c>
      <c r="C235" t="n">
        <v>20808</v>
      </c>
      <c r="D235" t="n">
        <v>1</v>
      </c>
      <c r="E235">
        <f>HYPERLINK("file:///C:/Users/anye forti/Desktop/2025 FALL/426 COSC/YOLO_TESTING/bbox-snapshots/frame01331_id3610.png", "frame01331_id3610.png")</f>
        <v/>
      </c>
    </row>
    <row r="236">
      <c r="A236" t="n">
        <v>1338</v>
      </c>
      <c r="B236" t="n">
        <v>3685</v>
      </c>
      <c r="C236" t="n">
        <v>61380</v>
      </c>
      <c r="D236" t="n">
        <v>2</v>
      </c>
      <c r="E236">
        <f>HYPERLINK("file:///C:/Users/anye forti/Desktop/2025 FALL/426 COSC/YOLO_TESTING/bbox-snapshots/frame01338_id3685.png", "frame01338_id3685.png")</f>
        <v/>
      </c>
    </row>
    <row r="237">
      <c r="A237" t="n">
        <v>1343</v>
      </c>
      <c r="B237" t="n">
        <v>3712</v>
      </c>
      <c r="C237" t="n">
        <v>47368</v>
      </c>
      <c r="D237" t="n">
        <v>1</v>
      </c>
      <c r="E237">
        <f>HYPERLINK("file:///C:/Users/anye forti/Desktop/2025 FALL/426 COSC/YOLO_TESTING/bbox-snapshots/frame01343_id3712.png", "frame01343_id3712.png")</f>
        <v/>
      </c>
    </row>
    <row r="238">
      <c r="A238" t="n">
        <v>1352</v>
      </c>
      <c r="B238" t="n">
        <v>3689</v>
      </c>
      <c r="C238" t="n">
        <v>44310</v>
      </c>
      <c r="D238" t="n">
        <v>1</v>
      </c>
      <c r="E238">
        <f>HYPERLINK("file:///C:/Users/anye forti/Desktop/2025 FALL/426 COSC/YOLO_TESTING/bbox-snapshots/frame01352_id3689.png", "frame01352_id3689.png")</f>
        <v/>
      </c>
    </row>
    <row r="239">
      <c r="A239" t="n">
        <v>1353</v>
      </c>
      <c r="B239" t="n">
        <v>3730</v>
      </c>
      <c r="C239" t="n">
        <v>46464</v>
      </c>
      <c r="D239" t="n">
        <v>1</v>
      </c>
      <c r="E239">
        <f>HYPERLINK("file:///C:/Users/anye forti/Desktop/2025 FALL/426 COSC/YOLO_TESTING/bbox-snapshots/frame01353_id3730.png", "frame01353_id3730.png")</f>
        <v/>
      </c>
    </row>
    <row r="240">
      <c r="A240" t="n">
        <v>1362</v>
      </c>
      <c r="B240" t="n">
        <v>3753</v>
      </c>
      <c r="C240" t="n">
        <v>49153</v>
      </c>
      <c r="D240" t="n">
        <v>1</v>
      </c>
      <c r="E240">
        <f>HYPERLINK("file:///C:/Users/anye forti/Desktop/2025 FALL/426 COSC/YOLO_TESTING/bbox-snapshots/frame01362_id3753.png", "frame01362_id3753.png")</f>
        <v/>
      </c>
    </row>
    <row r="241">
      <c r="A241" t="n">
        <v>1366</v>
      </c>
      <c r="B241" t="n">
        <v>3782</v>
      </c>
      <c r="C241" t="n">
        <v>29192</v>
      </c>
      <c r="D241" t="n">
        <v>1</v>
      </c>
      <c r="E241">
        <f>HYPERLINK("file:///C:/Users/anye forti/Desktop/2025 FALL/426 COSC/YOLO_TESTING/bbox-snapshots/frame01366_id3782.png", "frame01366_id3782.png")</f>
        <v/>
      </c>
    </row>
    <row r="242">
      <c r="A242" t="n">
        <v>1370</v>
      </c>
      <c r="B242" t="n">
        <v>3750</v>
      </c>
      <c r="C242" t="n">
        <v>72086</v>
      </c>
      <c r="D242" t="n">
        <v>2</v>
      </c>
      <c r="E242">
        <f>HYPERLINK("file:///C:/Users/anye forti/Desktop/2025 FALL/426 COSC/YOLO_TESTING/bbox-snapshots/frame01370_id3750.png", "frame01370_id3750.png")</f>
        <v/>
      </c>
    </row>
    <row r="243">
      <c r="A243" t="n">
        <v>1372</v>
      </c>
      <c r="B243" t="n">
        <v>3777</v>
      </c>
      <c r="C243" t="n">
        <v>59760</v>
      </c>
      <c r="D243" t="n">
        <v>2</v>
      </c>
      <c r="E243">
        <f>HYPERLINK("file:///C:/Users/anye forti/Desktop/2025 FALL/426 COSC/YOLO_TESTING/bbox-snapshots/frame01372_id3777.png", "frame01372_id3777.png")</f>
        <v/>
      </c>
    </row>
    <row r="244">
      <c r="A244" t="n">
        <v>1379</v>
      </c>
      <c r="B244" t="n">
        <v>3833</v>
      </c>
      <c r="C244" t="n">
        <v>30414</v>
      </c>
      <c r="D244" t="n">
        <v>1</v>
      </c>
      <c r="E244">
        <f>HYPERLINK("file:///C:/Users/anye forti/Desktop/2025 FALL/426 COSC/YOLO_TESTING/bbox-snapshots/frame01379_id3833.png", "frame01379_id3833.png")</f>
        <v/>
      </c>
    </row>
    <row r="245">
      <c r="A245" t="n">
        <v>1384</v>
      </c>
      <c r="B245" t="n">
        <v>3847</v>
      </c>
      <c r="C245" t="n">
        <v>33473</v>
      </c>
      <c r="D245" t="n">
        <v>1</v>
      </c>
      <c r="E245">
        <f>HYPERLINK("file:///C:/Users/anye forti/Desktop/2025 FALL/426 COSC/YOLO_TESTING/bbox-snapshots/frame01384_id3847.png", "frame01384_id3847.png")</f>
        <v/>
      </c>
    </row>
    <row r="246">
      <c r="A246" t="n">
        <v>1387</v>
      </c>
      <c r="B246" t="n">
        <v>3727</v>
      </c>
      <c r="C246" t="n">
        <v>51000</v>
      </c>
      <c r="D246" t="n">
        <v>1</v>
      </c>
      <c r="E246">
        <f>HYPERLINK("file:///C:/Users/anye forti/Desktop/2025 FALL/426 COSC/YOLO_TESTING/bbox-snapshots/frame01387_id3727.png", "frame01387_id3727.png")</f>
        <v/>
      </c>
    </row>
    <row r="247">
      <c r="A247" t="n">
        <v>1387</v>
      </c>
      <c r="B247" t="n">
        <v>3836</v>
      </c>
      <c r="C247" t="n">
        <v>46060</v>
      </c>
      <c r="D247" t="n">
        <v>1</v>
      </c>
      <c r="E247">
        <f>HYPERLINK("file:///C:/Users/anye forti/Desktop/2025 FALL/426 COSC/YOLO_TESTING/bbox-snapshots/frame01387_id3836.png", "frame01387_id3836.png")</f>
        <v/>
      </c>
    </row>
    <row r="248">
      <c r="A248" t="n">
        <v>1393</v>
      </c>
      <c r="B248" t="n">
        <v>3871</v>
      </c>
      <c r="C248" t="n">
        <v>57713</v>
      </c>
      <c r="D248" t="n">
        <v>1</v>
      </c>
      <c r="E248">
        <f>HYPERLINK("file:///C:/Users/anye forti/Desktop/2025 FALL/426 COSC/YOLO_TESTING/bbox-snapshots/frame01393_id3871.png", "frame01393_id3871.png")</f>
        <v/>
      </c>
    </row>
    <row r="249">
      <c r="A249" t="n">
        <v>1398</v>
      </c>
      <c r="B249" t="n">
        <v>3885</v>
      </c>
      <c r="C249" t="n">
        <v>39155</v>
      </c>
      <c r="D249" t="n">
        <v>1</v>
      </c>
      <c r="E249">
        <f>HYPERLINK("file:///C:/Users/anye forti/Desktop/2025 FALL/426 COSC/YOLO_TESTING/bbox-snapshots/frame01398_id3885.png", "frame01398_id3885.png")</f>
        <v/>
      </c>
    </row>
    <row r="250">
      <c r="A250" t="n">
        <v>1399</v>
      </c>
      <c r="B250" t="n">
        <v>3886</v>
      </c>
      <c r="C250" t="n">
        <v>33830</v>
      </c>
      <c r="D250" t="n">
        <v>1</v>
      </c>
      <c r="E250">
        <f>HYPERLINK("file:///C:/Users/anye forti/Desktop/2025 FALL/426 COSC/YOLO_TESTING/bbox-snapshots/frame01399_id3886.png", "frame01399_id3886.png")</f>
        <v/>
      </c>
    </row>
    <row r="251">
      <c r="A251" t="n">
        <v>1414</v>
      </c>
      <c r="B251" t="n">
        <v>3933</v>
      </c>
      <c r="C251" t="n">
        <v>67680</v>
      </c>
      <c r="D251" t="n">
        <v>2</v>
      </c>
      <c r="E251">
        <f>HYPERLINK("file:///C:/Users/anye forti/Desktop/2025 FALL/426 COSC/YOLO_TESTING/bbox-snapshots/frame01414_id3933.png", "frame01414_id3933.png")</f>
        <v/>
      </c>
    </row>
    <row r="252">
      <c r="A252" t="n">
        <v>1430</v>
      </c>
      <c r="B252" t="n">
        <v>3958</v>
      </c>
      <c r="C252" t="n">
        <v>41860</v>
      </c>
      <c r="D252" t="n">
        <v>1</v>
      </c>
      <c r="E252">
        <f>HYPERLINK("file:///C:/Users/anye forti/Desktop/2025 FALL/426 COSC/YOLO_TESTING/bbox-snapshots/frame01430_id3958.png", "frame01430_id3958.png")</f>
        <v/>
      </c>
    </row>
    <row r="253">
      <c r="A253" t="n">
        <v>1438</v>
      </c>
      <c r="B253" t="n">
        <v>3979</v>
      </c>
      <c r="C253" t="n">
        <v>29237</v>
      </c>
      <c r="D253" t="n">
        <v>1</v>
      </c>
      <c r="E253">
        <f>HYPERLINK("file:///C:/Users/anye forti/Desktop/2025 FALL/426 COSC/YOLO_TESTING/bbox-snapshots/frame01438_id3979.png", "frame01438_id3979.png")</f>
        <v/>
      </c>
    </row>
    <row r="254">
      <c r="A254" t="n">
        <v>1448</v>
      </c>
      <c r="B254" t="n">
        <v>3989</v>
      </c>
      <c r="C254" t="n">
        <v>36764</v>
      </c>
      <c r="D254" t="n">
        <v>1</v>
      </c>
      <c r="E254">
        <f>HYPERLINK("file:///C:/Users/anye forti/Desktop/2025 FALL/426 COSC/YOLO_TESTING/bbox-snapshots/frame01448_id3989.png", "frame01448_id3989.png")</f>
        <v/>
      </c>
    </row>
    <row r="255">
      <c r="A255" t="n">
        <v>1451</v>
      </c>
      <c r="B255" t="n">
        <v>3991</v>
      </c>
      <c r="C255" t="n">
        <v>38407</v>
      </c>
      <c r="D255" t="n">
        <v>1</v>
      </c>
      <c r="E255">
        <f>HYPERLINK("file:///C:/Users/anye forti/Desktop/2025 FALL/426 COSC/YOLO_TESTING/bbox-snapshots/frame01451_id3991.png", "frame01451_id3991.png")</f>
        <v/>
      </c>
    </row>
    <row r="256">
      <c r="A256" t="n">
        <v>1451</v>
      </c>
      <c r="B256" t="n">
        <v>4012</v>
      </c>
      <c r="C256" t="n">
        <v>53297</v>
      </c>
      <c r="D256" t="n">
        <v>1</v>
      </c>
      <c r="E256">
        <f>HYPERLINK("file:///C:/Users/anye forti/Desktop/2025 FALL/426 COSC/YOLO_TESTING/bbox-snapshots/frame01451_id4012.png", "frame01451_id4012.png")</f>
        <v/>
      </c>
    </row>
    <row r="257">
      <c r="A257" t="n">
        <v>1454</v>
      </c>
      <c r="B257" t="n">
        <v>4016</v>
      </c>
      <c r="C257" t="n">
        <v>38905</v>
      </c>
      <c r="D257" t="n">
        <v>1</v>
      </c>
      <c r="E257">
        <f>HYPERLINK("file:///C:/Users/anye forti/Desktop/2025 FALL/426 COSC/YOLO_TESTING/bbox-snapshots/frame01454_id4016.png", "frame01454_id4016.png")</f>
        <v/>
      </c>
    </row>
    <row r="258">
      <c r="A258" t="n">
        <v>1460</v>
      </c>
      <c r="B258" t="n">
        <v>4026</v>
      </c>
      <c r="C258" t="n">
        <v>45254</v>
      </c>
      <c r="D258" t="n">
        <v>1</v>
      </c>
      <c r="E258">
        <f>HYPERLINK("file:///C:/Users/anye forti/Desktop/2025 FALL/426 COSC/YOLO_TESTING/bbox-snapshots/frame01460_id4026.png", "frame01460_id4026.png")</f>
        <v/>
      </c>
    </row>
    <row r="259">
      <c r="A259" t="n">
        <v>1463</v>
      </c>
      <c r="B259" t="n">
        <v>4046</v>
      </c>
      <c r="C259" t="n">
        <v>41172</v>
      </c>
      <c r="D259" t="n">
        <v>1</v>
      </c>
      <c r="E259">
        <f>HYPERLINK("file:///C:/Users/anye forti/Desktop/2025 FALL/426 COSC/YOLO_TESTING/bbox-snapshots/frame01463_id4046.png", "frame01463_id4046.png")</f>
        <v/>
      </c>
    </row>
    <row r="260">
      <c r="A260" t="n">
        <v>1466</v>
      </c>
      <c r="B260" t="n">
        <v>4054</v>
      </c>
      <c r="C260" t="n">
        <v>27160</v>
      </c>
      <c r="D260" t="n">
        <v>1</v>
      </c>
      <c r="E260">
        <f>HYPERLINK("file:///C:/Users/anye forti/Desktop/2025 FALL/426 COSC/YOLO_TESTING/bbox-snapshots/frame01466_id4054.png", "frame01466_id4054.png")</f>
        <v/>
      </c>
    </row>
    <row r="261">
      <c r="A261" t="n">
        <v>1473</v>
      </c>
      <c r="B261" t="n">
        <v>4065</v>
      </c>
      <c r="C261" t="n">
        <v>42926</v>
      </c>
      <c r="D261" t="n">
        <v>1</v>
      </c>
      <c r="E261">
        <f>HYPERLINK("file:///C:/Users/anye forti/Desktop/2025 FALL/426 COSC/YOLO_TESTING/bbox-snapshots/frame01473_id4065.png", "frame01473_id4065.png")</f>
        <v/>
      </c>
    </row>
    <row r="262">
      <c r="A262" t="n">
        <v>1476</v>
      </c>
      <c r="B262" t="n">
        <v>4068</v>
      </c>
      <c r="C262" t="n">
        <v>51992</v>
      </c>
      <c r="D262" t="n">
        <v>1</v>
      </c>
      <c r="E262">
        <f>HYPERLINK("file:///C:/Users/anye forti/Desktop/2025 FALL/426 COSC/YOLO_TESTING/bbox-snapshots/frame01476_id4068.png", "frame01476_id4068.png")</f>
        <v/>
      </c>
    </row>
    <row r="263">
      <c r="A263" t="n">
        <v>1481</v>
      </c>
      <c r="B263" t="n">
        <v>4116</v>
      </c>
      <c r="C263" t="n">
        <v>44370</v>
      </c>
      <c r="D263" t="n">
        <v>1</v>
      </c>
      <c r="E263">
        <f>HYPERLINK("file:///C:/Users/anye forti/Desktop/2025 FALL/426 COSC/YOLO_TESTING/bbox-snapshots/frame01481_id4116.png", "frame01481_id4116.png")</f>
        <v/>
      </c>
    </row>
    <row r="264">
      <c r="A264" t="n">
        <v>1482</v>
      </c>
      <c r="B264" t="n">
        <v>4091</v>
      </c>
      <c r="C264" t="n">
        <v>45192</v>
      </c>
      <c r="D264" t="n">
        <v>1</v>
      </c>
      <c r="E264">
        <f>HYPERLINK("file:///C:/Users/anye forti/Desktop/2025 FALL/426 COSC/YOLO_TESTING/bbox-snapshots/frame01482_id4091.png", "frame01482_id4091.png")</f>
        <v/>
      </c>
    </row>
    <row r="265">
      <c r="A265" t="n">
        <v>1484</v>
      </c>
      <c r="B265" t="n">
        <v>4041</v>
      </c>
      <c r="C265" t="n">
        <v>49087</v>
      </c>
      <c r="D265" t="n">
        <v>1</v>
      </c>
      <c r="E265">
        <f>HYPERLINK("file:///C:/Users/anye forti/Desktop/2025 FALL/426 COSC/YOLO_TESTING/bbox-snapshots/frame01484_id4041.png", "frame01484_id4041.png")</f>
        <v/>
      </c>
    </row>
    <row r="266">
      <c r="A266" t="n">
        <v>1486</v>
      </c>
      <c r="B266" t="n">
        <v>4123</v>
      </c>
      <c r="C266" t="n">
        <v>42656</v>
      </c>
      <c r="D266" t="n">
        <v>1</v>
      </c>
      <c r="E266">
        <f>HYPERLINK("file:///C:/Users/anye forti/Desktop/2025 FALL/426 COSC/YOLO_TESTING/bbox-snapshots/frame01486_id4123.png", "frame01486_id4123.png")</f>
        <v/>
      </c>
    </row>
    <row r="267">
      <c r="A267" t="n">
        <v>1492</v>
      </c>
      <c r="B267" t="n">
        <v>4191</v>
      </c>
      <c r="C267" t="n">
        <v>27388</v>
      </c>
      <c r="D267" t="n">
        <v>1</v>
      </c>
      <c r="E267">
        <f>HYPERLINK("file:///C:/Users/anye forti/Desktop/2025 FALL/426 COSC/YOLO_TESTING/bbox-snapshots/frame01492_id4191.png", "frame01492_id4191.png")</f>
        <v/>
      </c>
    </row>
    <row r="268">
      <c r="A268" t="n">
        <v>1493</v>
      </c>
      <c r="B268" t="n">
        <v>4130</v>
      </c>
      <c r="C268" t="n">
        <v>43032</v>
      </c>
      <c r="D268" t="n">
        <v>1</v>
      </c>
      <c r="E268">
        <f>HYPERLINK("file:///C:/Users/anye forti/Desktop/2025 FALL/426 COSC/YOLO_TESTING/bbox-snapshots/frame01493_id4130.png", "frame01493_id4130.png")</f>
        <v/>
      </c>
    </row>
    <row r="269">
      <c r="A269" t="n">
        <v>1495</v>
      </c>
      <c r="B269" t="n">
        <v>4101</v>
      </c>
      <c r="C269" t="n">
        <v>62517</v>
      </c>
      <c r="D269" t="n">
        <v>2</v>
      </c>
      <c r="E269">
        <f>HYPERLINK("file:///C:/Users/anye forti/Desktop/2025 FALL/426 COSC/YOLO_TESTING/bbox-snapshots/frame01495_id4101.png", "frame01495_id4101.png")</f>
        <v/>
      </c>
    </row>
    <row r="270">
      <c r="A270" t="n">
        <v>1501</v>
      </c>
      <c r="B270" t="n">
        <v>4170</v>
      </c>
      <c r="C270" t="n">
        <v>48546</v>
      </c>
      <c r="D270" t="n">
        <v>1</v>
      </c>
      <c r="E270">
        <f>HYPERLINK("file:///C:/Users/anye forti/Desktop/2025 FALL/426 COSC/YOLO_TESTING/bbox-snapshots/frame01501_id4170.png", "frame01501_id4170.png")</f>
        <v/>
      </c>
    </row>
    <row r="271">
      <c r="A271" t="n">
        <v>1507</v>
      </c>
      <c r="B271" t="n">
        <v>4167</v>
      </c>
      <c r="C271" t="n">
        <v>34020</v>
      </c>
      <c r="D271" t="n">
        <v>1</v>
      </c>
      <c r="E271">
        <f>HYPERLINK("file:///C:/Users/anye forti/Desktop/2025 FALL/426 COSC/YOLO_TESTING/bbox-snapshots/frame01507_id4167.png", "frame01507_id4167.png")</f>
        <v/>
      </c>
    </row>
    <row r="272">
      <c r="A272" t="n">
        <v>1510</v>
      </c>
      <c r="B272" t="n">
        <v>4223</v>
      </c>
      <c r="C272" t="n">
        <v>46494</v>
      </c>
      <c r="D272" t="n">
        <v>1</v>
      </c>
      <c r="E272">
        <f>HYPERLINK("file:///C:/Users/anye forti/Desktop/2025 FALL/426 COSC/YOLO_TESTING/bbox-snapshots/frame01510_id4223.png", "frame01510_id4223.png")</f>
        <v/>
      </c>
    </row>
    <row r="273">
      <c r="A273" t="n">
        <v>1510</v>
      </c>
      <c r="B273" t="n">
        <v>4289</v>
      </c>
      <c r="C273" t="n">
        <v>29559</v>
      </c>
      <c r="D273" t="n">
        <v>1</v>
      </c>
      <c r="E273">
        <f>HYPERLINK("file:///C:/Users/anye forti/Desktop/2025 FALL/426 COSC/YOLO_TESTING/bbox-snapshots/frame01510_id4289.png", "frame01510_id4289.png")</f>
        <v/>
      </c>
    </row>
    <row r="274">
      <c r="A274" t="n">
        <v>1521</v>
      </c>
      <c r="B274" t="n">
        <v>4268</v>
      </c>
      <c r="C274" t="n">
        <v>29520</v>
      </c>
      <c r="D274" t="n">
        <v>1</v>
      </c>
      <c r="E274">
        <f>HYPERLINK("file:///C:/Users/anye forti/Desktop/2025 FALL/426 COSC/YOLO_TESTING/bbox-snapshots/frame01521_id4268.png", "frame01521_id4268.png")</f>
        <v/>
      </c>
    </row>
    <row r="275">
      <c r="A275" t="n">
        <v>1521</v>
      </c>
      <c r="B275" t="n">
        <v>4237</v>
      </c>
      <c r="C275" t="n">
        <v>35483</v>
      </c>
      <c r="D275" t="n">
        <v>1</v>
      </c>
      <c r="E275">
        <f>HYPERLINK("file:///C:/Users/anye forti/Desktop/2025 FALL/426 COSC/YOLO_TESTING/bbox-snapshots/frame01521_id4237.png", "frame01521_id4237.png")</f>
        <v/>
      </c>
    </row>
    <row r="276">
      <c r="A276" t="n">
        <v>1523</v>
      </c>
      <c r="B276" t="n">
        <v>4257</v>
      </c>
      <c r="C276" t="n">
        <v>51903</v>
      </c>
      <c r="D276" t="n">
        <v>1</v>
      </c>
      <c r="E276">
        <f>HYPERLINK("file:///C:/Users/anye forti/Desktop/2025 FALL/426 COSC/YOLO_TESTING/bbox-snapshots/frame01523_id4257.png", "frame01523_id4257.png")</f>
        <v/>
      </c>
    </row>
    <row r="277">
      <c r="A277" t="n">
        <v>1524</v>
      </c>
      <c r="B277" t="n">
        <v>4259</v>
      </c>
      <c r="C277" t="n">
        <v>33820</v>
      </c>
      <c r="D277" t="n">
        <v>1</v>
      </c>
      <c r="E277">
        <f>HYPERLINK("file:///C:/Users/anye forti/Desktop/2025 FALL/426 COSC/YOLO_TESTING/bbox-snapshots/frame01524_id4259.png", "frame01524_id4259.png")</f>
        <v/>
      </c>
    </row>
    <row r="278">
      <c r="A278" t="n">
        <v>1530</v>
      </c>
      <c r="B278" t="n">
        <v>4297</v>
      </c>
      <c r="C278" t="n">
        <v>33800</v>
      </c>
      <c r="D278" t="n">
        <v>1</v>
      </c>
      <c r="E278">
        <f>HYPERLINK("file:///C:/Users/anye forti/Desktop/2025 FALL/426 COSC/YOLO_TESTING/bbox-snapshots/frame01530_id4297.png", "frame01530_id4297.png")</f>
        <v/>
      </c>
    </row>
    <row r="279">
      <c r="A279" t="n">
        <v>1545</v>
      </c>
      <c r="B279" t="n">
        <v>4338</v>
      </c>
      <c r="C279" t="n">
        <v>49000</v>
      </c>
      <c r="D279" t="n">
        <v>1</v>
      </c>
      <c r="E279">
        <f>HYPERLINK("file:///C:/Users/anye forti/Desktop/2025 FALL/426 COSC/YOLO_TESTING/bbox-snapshots/frame01545_id4338.png", "frame01545_id4338.png")</f>
        <v/>
      </c>
    </row>
    <row r="280">
      <c r="A280" t="n">
        <v>1555</v>
      </c>
      <c r="B280" t="n">
        <v>4374</v>
      </c>
      <c r="C280" t="n">
        <v>38055</v>
      </c>
      <c r="D280" t="n">
        <v>1</v>
      </c>
      <c r="E280">
        <f>HYPERLINK("file:///C:/Users/anye forti/Desktop/2025 FALL/426 COSC/YOLO_TESTING/bbox-snapshots/frame01555_id4374.png", "frame01555_id4374.png")</f>
        <v/>
      </c>
    </row>
    <row r="281">
      <c r="A281" t="n">
        <v>1556</v>
      </c>
      <c r="B281" t="n">
        <v>4393</v>
      </c>
      <c r="C281" t="n">
        <v>51657</v>
      </c>
      <c r="D281" t="n">
        <v>1</v>
      </c>
      <c r="E281">
        <f>HYPERLINK("file:///C:/Users/anye forti/Desktop/2025 FALL/426 COSC/YOLO_TESTING/bbox-snapshots/frame01556_id4393.png", "frame01556_id4393.png")</f>
        <v/>
      </c>
    </row>
    <row r="282">
      <c r="A282" t="n">
        <v>1558</v>
      </c>
      <c r="B282" t="n">
        <v>4453</v>
      </c>
      <c r="C282" t="n">
        <v>70900</v>
      </c>
      <c r="D282" t="n">
        <v>2</v>
      </c>
      <c r="E282">
        <f>HYPERLINK("file:///C:/Users/anye forti/Desktop/2025 FALL/426 COSC/YOLO_TESTING/bbox-snapshots/frame01558_id4453.png", "frame01558_id4453.png")</f>
        <v/>
      </c>
    </row>
    <row r="283">
      <c r="A283" t="n">
        <v>1559</v>
      </c>
      <c r="B283" t="n">
        <v>4354</v>
      </c>
      <c r="C283" t="n">
        <v>49352</v>
      </c>
      <c r="D283" t="n">
        <v>1</v>
      </c>
      <c r="E283">
        <f>HYPERLINK("file:///C:/Users/anye forti/Desktop/2025 FALL/426 COSC/YOLO_TESTING/bbox-snapshots/frame01559_id4354.png", "frame01559_id4354.png")</f>
        <v/>
      </c>
    </row>
    <row r="284">
      <c r="A284" t="n">
        <v>1559</v>
      </c>
      <c r="B284" t="n">
        <v>4402</v>
      </c>
      <c r="C284" t="n">
        <v>36108</v>
      </c>
      <c r="D284" t="n">
        <v>1</v>
      </c>
      <c r="E284">
        <f>HYPERLINK("file:///C:/Users/anye forti/Desktop/2025 FALL/426 COSC/YOLO_TESTING/bbox-snapshots/frame01559_id4402.png", "frame01559_id4402.png")</f>
        <v/>
      </c>
    </row>
    <row r="285">
      <c r="A285" t="n">
        <v>1571</v>
      </c>
      <c r="B285" t="n">
        <v>4438</v>
      </c>
      <c r="C285" t="n">
        <v>41255</v>
      </c>
      <c r="D285" t="n">
        <v>1</v>
      </c>
      <c r="E285">
        <f>HYPERLINK("file:///C:/Users/anye forti/Desktop/2025 FALL/426 COSC/YOLO_TESTING/bbox-snapshots/frame01571_id4438.png", "frame01571_id4438.png")</f>
        <v/>
      </c>
    </row>
    <row r="286">
      <c r="A286" t="n">
        <v>1575</v>
      </c>
      <c r="B286" t="n">
        <v>4403</v>
      </c>
      <c r="C286" t="n">
        <v>39730</v>
      </c>
      <c r="D286" t="n">
        <v>1</v>
      </c>
      <c r="E286">
        <f>HYPERLINK("file:///C:/Users/anye forti/Desktop/2025 FALL/426 COSC/YOLO_TESTING/bbox-snapshots/frame01575_id4403.png", "frame01575_id4403.png")</f>
        <v/>
      </c>
    </row>
    <row r="287">
      <c r="A287" t="n">
        <v>1581</v>
      </c>
      <c r="B287" t="n">
        <v>4550</v>
      </c>
      <c r="C287" t="n">
        <v>9963</v>
      </c>
      <c r="D287" t="n">
        <v>0</v>
      </c>
      <c r="E287">
        <f>HYPERLINK("file:///C:/Users/anye forti/Desktop/2025 FALL/426 COSC/YOLO_TESTING/bbox-snapshots/frame01581_id4550.png", "frame01581_id4550.png")</f>
        <v/>
      </c>
    </row>
    <row r="288">
      <c r="A288" t="n">
        <v>1583</v>
      </c>
      <c r="B288" t="n">
        <v>4449</v>
      </c>
      <c r="C288" t="n">
        <v>65250</v>
      </c>
      <c r="D288" t="n">
        <v>2</v>
      </c>
      <c r="E288">
        <f>HYPERLINK("file:///C:/Users/anye forti/Desktop/2025 FALL/426 COSC/YOLO_TESTING/bbox-snapshots/frame01583_id4449.png", "frame01583_id4449.png")</f>
        <v/>
      </c>
    </row>
    <row r="289">
      <c r="A289" t="n">
        <v>1583</v>
      </c>
      <c r="B289" t="n">
        <v>4474</v>
      </c>
      <c r="C289" t="n">
        <v>38532</v>
      </c>
      <c r="D289" t="n">
        <v>1</v>
      </c>
      <c r="E289">
        <f>HYPERLINK("file:///C:/Users/anye forti/Desktop/2025 FALL/426 COSC/YOLO_TESTING/bbox-snapshots/frame01583_id4474.png", "frame01583_id4474.png")</f>
        <v/>
      </c>
    </row>
    <row r="290">
      <c r="A290" t="n">
        <v>1585</v>
      </c>
      <c r="B290" t="n">
        <v>4505</v>
      </c>
      <c r="C290" t="n">
        <v>19460</v>
      </c>
      <c r="D290" t="n">
        <v>1</v>
      </c>
      <c r="E290">
        <f>HYPERLINK("file:///C:/Users/anye forti/Desktop/2025 FALL/426 COSC/YOLO_TESTING/bbox-snapshots/frame01585_id4505.png", "frame01585_id4505.png")</f>
        <v/>
      </c>
    </row>
    <row r="291">
      <c r="A291" t="n">
        <v>1586</v>
      </c>
      <c r="B291" t="n">
        <v>4566</v>
      </c>
      <c r="C291" t="n">
        <v>35237</v>
      </c>
      <c r="D291" t="n">
        <v>1</v>
      </c>
      <c r="E291">
        <f>HYPERLINK("file:///C:/Users/anye forti/Desktop/2025 FALL/426 COSC/YOLO_TESTING/bbox-snapshots/frame01586_id4566.png", "frame01586_id4566.png")</f>
        <v/>
      </c>
    </row>
    <row r="292">
      <c r="A292" t="n">
        <v>1586</v>
      </c>
      <c r="B292" t="n">
        <v>4426</v>
      </c>
      <c r="C292" t="n">
        <v>50750</v>
      </c>
      <c r="D292" t="n">
        <v>1</v>
      </c>
      <c r="E292">
        <f>HYPERLINK("file:///C:/Users/anye forti/Desktop/2025 FALL/426 COSC/YOLO_TESTING/bbox-snapshots/frame01586_id4426.png", "frame01586_id4426.png")</f>
        <v/>
      </c>
    </row>
    <row r="293">
      <c r="A293" t="n">
        <v>1594</v>
      </c>
      <c r="B293" t="n">
        <v>4481</v>
      </c>
      <c r="C293" t="n">
        <v>43044</v>
      </c>
      <c r="D293" t="n">
        <v>1</v>
      </c>
      <c r="E293">
        <f>HYPERLINK("file:///C:/Users/anye forti/Desktop/2025 FALL/426 COSC/YOLO_TESTING/bbox-snapshots/frame01594_id4481.png", "frame01594_id4481.png")</f>
        <v/>
      </c>
    </row>
    <row r="294">
      <c r="A294" t="n">
        <v>1594</v>
      </c>
      <c r="B294" t="n">
        <v>4337</v>
      </c>
      <c r="C294" t="n">
        <v>17765</v>
      </c>
      <c r="D294" t="n">
        <v>1</v>
      </c>
      <c r="E294">
        <f>HYPERLINK("file:///C:/Users/anye forti/Desktop/2025 FALL/426 COSC/YOLO_TESTING/bbox-snapshots/frame01594_id4337.png", "frame01594_id4337.png")</f>
        <v/>
      </c>
    </row>
    <row r="295">
      <c r="A295" t="n">
        <v>1599</v>
      </c>
      <c r="B295" t="n">
        <v>4556</v>
      </c>
      <c r="C295" t="n">
        <v>31584</v>
      </c>
      <c r="D295" t="n">
        <v>1</v>
      </c>
      <c r="E295">
        <f>HYPERLINK("file:///C:/Users/anye forti/Desktop/2025 FALL/426 COSC/YOLO_TESTING/bbox-snapshots/frame01599_id4556.png", "frame01599_id4556.png")</f>
        <v/>
      </c>
    </row>
    <row r="296">
      <c r="A296" t="n">
        <v>1603</v>
      </c>
      <c r="B296" t="n">
        <v>4466</v>
      </c>
      <c r="C296" t="n">
        <v>24240</v>
      </c>
      <c r="D296" t="n">
        <v>1</v>
      </c>
      <c r="E296">
        <f>HYPERLINK("file:///C:/Users/anye forti/Desktop/2025 FALL/426 COSC/YOLO_TESTING/bbox-snapshots/frame01603_id4466.png", "frame01603_id4466.png")</f>
        <v/>
      </c>
    </row>
    <row r="297">
      <c r="A297" t="n">
        <v>1609</v>
      </c>
      <c r="B297" t="n">
        <v>4592</v>
      </c>
      <c r="C297" t="n">
        <v>46384</v>
      </c>
      <c r="D297" t="n">
        <v>1</v>
      </c>
      <c r="E297">
        <f>HYPERLINK("file:///C:/Users/anye forti/Desktop/2025 FALL/426 COSC/YOLO_TESTING/bbox-snapshots/frame01609_id4592.png", "frame01609_id4592.png")</f>
        <v/>
      </c>
    </row>
    <row r="298">
      <c r="A298" t="n">
        <v>1618</v>
      </c>
      <c r="B298" t="n">
        <v>4622</v>
      </c>
      <c r="C298" t="n">
        <v>43537</v>
      </c>
      <c r="D298" t="n">
        <v>1</v>
      </c>
      <c r="E298">
        <f>HYPERLINK("file:///C:/Users/anye forti/Desktop/2025 FALL/426 COSC/YOLO_TESTING/bbox-snapshots/frame01618_id4622.png", "frame01618_id4622.png")</f>
        <v/>
      </c>
    </row>
    <row r="299">
      <c r="A299" t="n">
        <v>1619</v>
      </c>
      <c r="B299" t="n">
        <v>4591</v>
      </c>
      <c r="C299" t="n">
        <v>49389</v>
      </c>
      <c r="D299" t="n">
        <v>1</v>
      </c>
      <c r="E299">
        <f>HYPERLINK("file:///C:/Users/anye forti/Desktop/2025 FALL/426 COSC/YOLO_TESTING/bbox-snapshots/frame01619_id4591.png", "frame01619_id4591.png")</f>
        <v/>
      </c>
    </row>
    <row r="300">
      <c r="A300" t="n">
        <v>1624</v>
      </c>
      <c r="B300" t="n">
        <v>4633</v>
      </c>
      <c r="C300" t="n">
        <v>39740</v>
      </c>
      <c r="D300" t="n">
        <v>1</v>
      </c>
      <c r="E300">
        <f>HYPERLINK("file:///C:/Users/anye forti/Desktop/2025 FALL/426 COSC/YOLO_TESTING/bbox-snapshots/frame01624_id4633.png", "frame01624_id4633.png")</f>
        <v/>
      </c>
    </row>
    <row r="301">
      <c r="A301" t="n">
        <v>1628</v>
      </c>
      <c r="B301" t="n">
        <v>4710</v>
      </c>
      <c r="C301" t="n">
        <v>13596</v>
      </c>
      <c r="D301" t="n">
        <v>1</v>
      </c>
      <c r="E301">
        <f>HYPERLINK("file:///C:/Users/anye forti/Desktop/2025 FALL/426 COSC/YOLO_TESTING/bbox-snapshots/frame01628_id4710.png", "frame01628_id4710.png")</f>
        <v/>
      </c>
    </row>
    <row r="302">
      <c r="A302" t="n">
        <v>1631</v>
      </c>
      <c r="B302" t="n">
        <v>4661</v>
      </c>
      <c r="C302" t="n">
        <v>37080</v>
      </c>
      <c r="D302" t="n">
        <v>1</v>
      </c>
      <c r="E302">
        <f>HYPERLINK("file:///C:/Users/anye forti/Desktop/2025 FALL/426 COSC/YOLO_TESTING/bbox-snapshots/frame01631_id4661.png", "frame01631_id4661.png")</f>
        <v/>
      </c>
    </row>
    <row r="303">
      <c r="A303" t="n">
        <v>1631</v>
      </c>
      <c r="B303" t="n">
        <v>4734</v>
      </c>
      <c r="C303" t="n">
        <v>21870</v>
      </c>
      <c r="D303" t="n">
        <v>1</v>
      </c>
      <c r="E303">
        <f>HYPERLINK("file:///C:/Users/anye forti/Desktop/2025 FALL/426 COSC/YOLO_TESTING/bbox-snapshots/frame01631_id4734.png", "frame01631_id4734.png")</f>
        <v/>
      </c>
    </row>
    <row r="304">
      <c r="A304" t="n">
        <v>1632</v>
      </c>
      <c r="B304" t="n">
        <v>4663</v>
      </c>
      <c r="C304" t="n">
        <v>50962</v>
      </c>
      <c r="D304" t="n">
        <v>1</v>
      </c>
      <c r="E304">
        <f>HYPERLINK("file:///C:/Users/anye forti/Desktop/2025 FALL/426 COSC/YOLO_TESTING/bbox-snapshots/frame01632_id4663.png", "frame01632_id4663.png")</f>
        <v/>
      </c>
    </row>
    <row r="305">
      <c r="A305" t="n">
        <v>1636</v>
      </c>
      <c r="B305" t="n">
        <v>4671</v>
      </c>
      <c r="C305" t="n">
        <v>55480</v>
      </c>
      <c r="D305" t="n">
        <v>1</v>
      </c>
      <c r="E305">
        <f>HYPERLINK("file:///C:/Users/anye forti/Desktop/2025 FALL/426 COSC/YOLO_TESTING/bbox-snapshots/frame01636_id4671.png", "frame01636_id4671.png")</f>
        <v/>
      </c>
    </row>
    <row r="306">
      <c r="A306" t="n">
        <v>1640</v>
      </c>
      <c r="B306" t="n">
        <v>4675</v>
      </c>
      <c r="C306" t="n">
        <v>34128</v>
      </c>
      <c r="D306" t="n">
        <v>1</v>
      </c>
      <c r="E306">
        <f>HYPERLINK("file:///C:/Users/anye forti/Desktop/2025 FALL/426 COSC/YOLO_TESTING/bbox-snapshots/frame01640_id4675.png", "frame01640_id4675.png")</f>
        <v/>
      </c>
    </row>
    <row r="307">
      <c r="A307" t="n">
        <v>1640</v>
      </c>
      <c r="B307" t="n">
        <v>4684</v>
      </c>
      <c r="C307" t="n">
        <v>28000</v>
      </c>
      <c r="D307" t="n">
        <v>1</v>
      </c>
      <c r="E307">
        <f>HYPERLINK("file:///C:/Users/anye forti/Desktop/2025 FALL/426 COSC/YOLO_TESTING/bbox-snapshots/frame01640_id4684.png", "frame01640_id4684.png")</f>
        <v/>
      </c>
    </row>
    <row r="308">
      <c r="A308" t="n">
        <v>1646</v>
      </c>
      <c r="B308" t="n">
        <v>4786</v>
      </c>
      <c r="C308" t="n">
        <v>42320</v>
      </c>
      <c r="D308" t="n">
        <v>1</v>
      </c>
      <c r="E308">
        <f>HYPERLINK("file:///C:/Users/anye forti/Desktop/2025 FALL/426 COSC/YOLO_TESTING/bbox-snapshots/frame01646_id4786.png", "frame01646_id4786.png")</f>
        <v/>
      </c>
    </row>
    <row r="309">
      <c r="A309" t="n">
        <v>1648</v>
      </c>
      <c r="B309" t="n">
        <v>4729</v>
      </c>
      <c r="C309" t="n">
        <v>38793</v>
      </c>
      <c r="D309" t="n">
        <v>1</v>
      </c>
      <c r="E309">
        <f>HYPERLINK("file:///C:/Users/anye forti/Desktop/2025 FALL/426 COSC/YOLO_TESTING/bbox-snapshots/frame01648_id4729.png", "frame01648_id4729.png")</f>
        <v/>
      </c>
    </row>
    <row r="310">
      <c r="A310" t="n">
        <v>1651</v>
      </c>
      <c r="B310" t="n">
        <v>4725</v>
      </c>
      <c r="C310" t="n">
        <v>42343</v>
      </c>
      <c r="D310" t="n">
        <v>1</v>
      </c>
      <c r="E310">
        <f>HYPERLINK("file:///C:/Users/anye forti/Desktop/2025 FALL/426 COSC/YOLO_TESTING/bbox-snapshots/frame01651_id4725.png", "frame01651_id4725.png")</f>
        <v/>
      </c>
    </row>
    <row r="311">
      <c r="A311" t="n">
        <v>1654</v>
      </c>
      <c r="B311" t="n">
        <v>4753</v>
      </c>
      <c r="C311" t="n">
        <v>39025</v>
      </c>
      <c r="D311" t="n">
        <v>1</v>
      </c>
      <c r="E311">
        <f>HYPERLINK("file:///C:/Users/anye forti/Desktop/2025 FALL/426 COSC/YOLO_TESTING/bbox-snapshots/frame01654_id4753.png", "frame01654_id4753.png")</f>
        <v/>
      </c>
    </row>
    <row r="312">
      <c r="A312" t="n">
        <v>1662</v>
      </c>
      <c r="B312" t="n">
        <v>4781</v>
      </c>
      <c r="C312" t="n">
        <v>43602</v>
      </c>
      <c r="D312" t="n">
        <v>1</v>
      </c>
      <c r="E312">
        <f>HYPERLINK("file:///C:/Users/anye forti/Desktop/2025 FALL/426 COSC/YOLO_TESTING/bbox-snapshots/frame01662_id4781.png", "frame01662_id4781.png")</f>
        <v/>
      </c>
    </row>
    <row r="313">
      <c r="A313" t="n">
        <v>1663</v>
      </c>
      <c r="B313" t="n">
        <v>4796</v>
      </c>
      <c r="C313" t="n">
        <v>33210</v>
      </c>
      <c r="D313" t="n">
        <v>1</v>
      </c>
      <c r="E313">
        <f>HYPERLINK("file:///C:/Users/anye forti/Desktop/2025 FALL/426 COSC/YOLO_TESTING/bbox-snapshots/frame01663_id4796.png", "frame01663_id4796.png")</f>
        <v/>
      </c>
    </row>
    <row r="314">
      <c r="A314" t="n">
        <v>1667</v>
      </c>
      <c r="B314" t="n">
        <v>4828</v>
      </c>
      <c r="C314" t="n">
        <v>41688</v>
      </c>
      <c r="D314" t="n">
        <v>1</v>
      </c>
      <c r="E314">
        <f>HYPERLINK("file:///C:/Users/anye forti/Desktop/2025 FALL/426 COSC/YOLO_TESTING/bbox-snapshots/frame01667_id4828.png", "frame01667_id4828.png")</f>
        <v/>
      </c>
    </row>
    <row r="315">
      <c r="A315" t="n">
        <v>1673</v>
      </c>
      <c r="B315" t="n">
        <v>4838</v>
      </c>
      <c r="C315" t="n">
        <v>56854</v>
      </c>
      <c r="D315" t="n">
        <v>1</v>
      </c>
      <c r="E315">
        <f>HYPERLINK("file:///C:/Users/anye forti/Desktop/2025 FALL/426 COSC/YOLO_TESTING/bbox-snapshots/frame01673_id4838.png", "frame01673_id4838.png")</f>
        <v/>
      </c>
    </row>
    <row r="316">
      <c r="A316" t="n">
        <v>1674</v>
      </c>
      <c r="B316" t="n">
        <v>4857</v>
      </c>
      <c r="C316" t="n">
        <v>35784</v>
      </c>
      <c r="D316" t="n">
        <v>1</v>
      </c>
      <c r="E316">
        <f>HYPERLINK("file:///C:/Users/anye forti/Desktop/2025 FALL/426 COSC/YOLO_TESTING/bbox-snapshots/frame01674_id4857.png", "frame01674_id4857.png")</f>
        <v/>
      </c>
    </row>
    <row r="317">
      <c r="A317" t="n">
        <v>1677</v>
      </c>
      <c r="B317" t="n">
        <v>4858</v>
      </c>
      <c r="C317" t="n">
        <v>36062</v>
      </c>
      <c r="D317" t="n">
        <v>1</v>
      </c>
      <c r="E317">
        <f>HYPERLINK("file:///C:/Users/anye forti/Desktop/2025 FALL/426 COSC/YOLO_TESTING/bbox-snapshots/frame01677_id4858.png", "frame01677_id4858.png")</f>
        <v/>
      </c>
    </row>
    <row r="318">
      <c r="A318" t="n">
        <v>1677</v>
      </c>
      <c r="B318" t="n">
        <v>4865</v>
      </c>
      <c r="C318" t="n">
        <v>49153</v>
      </c>
      <c r="D318" t="n">
        <v>1</v>
      </c>
      <c r="E318">
        <f>HYPERLINK("file:///C:/Users/anye forti/Desktop/2025 FALL/426 COSC/YOLO_TESTING/bbox-snapshots/frame01677_id4865.png", "frame01677_id4865.png")</f>
        <v/>
      </c>
    </row>
    <row r="319">
      <c r="A319" t="n">
        <v>1682</v>
      </c>
      <c r="B319" t="n">
        <v>4889</v>
      </c>
      <c r="C319" t="n">
        <v>43039</v>
      </c>
      <c r="D319" t="n">
        <v>1</v>
      </c>
      <c r="E319">
        <f>HYPERLINK("file:///C:/Users/anye forti/Desktop/2025 FALL/426 COSC/YOLO_TESTING/bbox-snapshots/frame01682_id4889.png", "frame01682_id4889.png")</f>
        <v/>
      </c>
    </row>
    <row r="320">
      <c r="A320" t="n">
        <v>1686</v>
      </c>
      <c r="B320" t="n">
        <v>4906</v>
      </c>
      <c r="C320" t="n">
        <v>34362</v>
      </c>
      <c r="D320" t="n">
        <v>1</v>
      </c>
      <c r="E320">
        <f>HYPERLINK("file:///C:/Users/anye forti/Desktop/2025 FALL/426 COSC/YOLO_TESTING/bbox-snapshots/frame01686_id4906.png", "frame01686_id4906.png")</f>
        <v/>
      </c>
    </row>
    <row r="321">
      <c r="A321" t="n">
        <v>1695</v>
      </c>
      <c r="B321" t="n">
        <v>4723</v>
      </c>
      <c r="C321" t="n">
        <v>32868</v>
      </c>
      <c r="D321" t="n">
        <v>1</v>
      </c>
      <c r="E321">
        <f>HYPERLINK("file:///C:/Users/anye forti/Desktop/2025 FALL/426 COSC/YOLO_TESTING/bbox-snapshots/frame01695_id4723.png", "frame01695_id4723.png")</f>
        <v/>
      </c>
    </row>
    <row r="322">
      <c r="A322" t="n">
        <v>1701</v>
      </c>
      <c r="B322" t="n">
        <v>4952</v>
      </c>
      <c r="C322" t="n">
        <v>42000</v>
      </c>
      <c r="D322" t="n">
        <v>1</v>
      </c>
      <c r="E322">
        <f>HYPERLINK("file:///C:/Users/anye forti/Desktop/2025 FALL/426 COSC/YOLO_TESTING/bbox-snapshots/frame01701_id4952.png", "frame01701_id4952.png")</f>
        <v/>
      </c>
    </row>
    <row r="323">
      <c r="A323" t="n">
        <v>1710</v>
      </c>
      <c r="B323" t="n">
        <v>4960</v>
      </c>
      <c r="C323" t="n">
        <v>22116</v>
      </c>
      <c r="D323" t="n">
        <v>1</v>
      </c>
      <c r="E323">
        <f>HYPERLINK("file:///C:/Users/anye forti/Desktop/2025 FALL/426 COSC/YOLO_TESTING/bbox-snapshots/frame01710_id4960.png", "frame01710_id4960.png")</f>
        <v/>
      </c>
    </row>
    <row r="324">
      <c r="A324" t="n">
        <v>1710</v>
      </c>
      <c r="B324" t="n">
        <v>4946</v>
      </c>
      <c r="C324" t="n">
        <v>19328</v>
      </c>
      <c r="D324" t="n">
        <v>1</v>
      </c>
      <c r="E324">
        <f>HYPERLINK("file:///C:/Users/anye forti/Desktop/2025 FALL/426 COSC/YOLO_TESTING/bbox-snapshots/frame01710_id4946.png", "frame01710_id4946.png")</f>
        <v/>
      </c>
    </row>
    <row r="325">
      <c r="A325" t="n">
        <v>1718</v>
      </c>
      <c r="B325" t="n">
        <v>4999</v>
      </c>
      <c r="C325" t="n">
        <v>37056</v>
      </c>
      <c r="D325" t="n">
        <v>1</v>
      </c>
      <c r="E325">
        <f>HYPERLINK("file:///C:/Users/anye forti/Desktop/2025 FALL/426 COSC/YOLO_TESTING/bbox-snapshots/frame01718_id4999.png", "frame01718_id4999.png")</f>
        <v/>
      </c>
    </row>
    <row r="326">
      <c r="A326" t="n">
        <v>1718</v>
      </c>
      <c r="B326" t="n">
        <v>5004</v>
      </c>
      <c r="C326" t="n">
        <v>22294</v>
      </c>
      <c r="D326" t="n">
        <v>1</v>
      </c>
      <c r="E326">
        <f>HYPERLINK("file:///C:/Users/anye forti/Desktop/2025 FALL/426 COSC/YOLO_TESTING/bbox-snapshots/frame01718_id5004.png", "frame01718_id5004.png")</f>
        <v/>
      </c>
    </row>
    <row r="327">
      <c r="A327" t="n">
        <v>1721</v>
      </c>
      <c r="B327" t="n">
        <v>5003</v>
      </c>
      <c r="C327" t="n">
        <v>24386</v>
      </c>
      <c r="D327" t="n">
        <v>1</v>
      </c>
      <c r="E327">
        <f>HYPERLINK("file:///C:/Users/anye forti/Desktop/2025 FALL/426 COSC/YOLO_TESTING/bbox-snapshots/frame01721_id5003.png", "frame01721_id5003.png")</f>
        <v/>
      </c>
    </row>
    <row r="328">
      <c r="A328" t="n">
        <v>1730</v>
      </c>
      <c r="B328" t="n">
        <v>4977</v>
      </c>
      <c r="C328" t="n">
        <v>70144</v>
      </c>
      <c r="D328" t="n">
        <v>2</v>
      </c>
      <c r="E328">
        <f>HYPERLINK("file:///C:/Users/anye forti/Desktop/2025 FALL/426 COSC/YOLO_TESTING/bbox-snapshots/frame01730_id4977.png", "frame01730_id4977.png")</f>
        <v/>
      </c>
    </row>
    <row r="329">
      <c r="A329" t="n">
        <v>1745</v>
      </c>
      <c r="B329" t="n">
        <v>5079</v>
      </c>
      <c r="C329" t="n">
        <v>53332</v>
      </c>
      <c r="D329" t="n">
        <v>1</v>
      </c>
      <c r="E329">
        <f>HYPERLINK("file:///C:/Users/anye forti/Desktop/2025 FALL/426 COSC/YOLO_TESTING/bbox-snapshots/frame01745_id5079.png", "frame01745_id5079.png")</f>
        <v/>
      </c>
    </row>
    <row r="330">
      <c r="A330" t="n">
        <v>1749</v>
      </c>
      <c r="B330" t="n">
        <v>5105</v>
      </c>
      <c r="C330" t="n">
        <v>49951</v>
      </c>
      <c r="D330" t="n">
        <v>1</v>
      </c>
      <c r="E330">
        <f>HYPERLINK("file:///C:/Users/anye forti/Desktop/2025 FALL/426 COSC/YOLO_TESTING/bbox-snapshots/frame01749_id5105.png", "frame01749_id5105.png")</f>
        <v/>
      </c>
    </row>
    <row r="331">
      <c r="A331" t="n">
        <v>1753</v>
      </c>
      <c r="B331" t="n">
        <v>5116</v>
      </c>
      <c r="C331" t="n">
        <v>39182</v>
      </c>
      <c r="D331" t="n">
        <v>1</v>
      </c>
      <c r="E331">
        <f>HYPERLINK("file:///C:/Users/anye forti/Desktop/2025 FALL/426 COSC/YOLO_TESTING/bbox-snapshots/frame01753_id5116.png", "frame01753_id5116.png")</f>
        <v/>
      </c>
    </row>
    <row r="332">
      <c r="A332" t="n">
        <v>1753</v>
      </c>
      <c r="B332" t="n">
        <v>5158</v>
      </c>
      <c r="C332" t="n">
        <v>34020</v>
      </c>
      <c r="D332" t="n">
        <v>1</v>
      </c>
      <c r="E332">
        <f>HYPERLINK("file:///C:/Users/anye forti/Desktop/2025 FALL/426 COSC/YOLO_TESTING/bbox-snapshots/frame01753_id5158.png", "frame01753_id5158.png")</f>
        <v/>
      </c>
    </row>
    <row r="333">
      <c r="A333" t="n">
        <v>1753</v>
      </c>
      <c r="B333" t="n">
        <v>5115</v>
      </c>
      <c r="C333" t="n">
        <v>35754</v>
      </c>
      <c r="D333" t="n">
        <v>1</v>
      </c>
      <c r="E333">
        <f>HYPERLINK("file:///C:/Users/anye forti/Desktop/2025 FALL/426 COSC/YOLO_TESTING/bbox-snapshots/frame01753_id5115.png", "frame01753_id5115.png")</f>
        <v/>
      </c>
    </row>
    <row r="334">
      <c r="A334" t="n">
        <v>1755</v>
      </c>
      <c r="B334" t="n">
        <v>5149</v>
      </c>
      <c r="C334" t="n">
        <v>22796</v>
      </c>
      <c r="D334" t="n">
        <v>1</v>
      </c>
      <c r="E334">
        <f>HYPERLINK("file:///C:/Users/anye forti/Desktop/2025 FALL/426 COSC/YOLO_TESTING/bbox-snapshots/frame01755_id5149.png", "frame01755_id5149.png")</f>
        <v/>
      </c>
    </row>
    <row r="335">
      <c r="A335" t="n">
        <v>1757</v>
      </c>
      <c r="B335" t="n">
        <v>5199</v>
      </c>
      <c r="C335" t="n">
        <v>17433</v>
      </c>
      <c r="D335" t="n">
        <v>1</v>
      </c>
      <c r="E335">
        <f>HYPERLINK("file:///C:/Users/anye forti/Desktop/2025 FALL/426 COSC/YOLO_TESTING/bbox-snapshots/frame01757_id5199.png", "frame01757_id5199.png")</f>
        <v/>
      </c>
    </row>
    <row r="336">
      <c r="A336" t="n">
        <v>1761</v>
      </c>
      <c r="B336" t="n">
        <v>5146</v>
      </c>
      <c r="C336" t="n">
        <v>33840</v>
      </c>
      <c r="D336" t="n">
        <v>1</v>
      </c>
      <c r="E336">
        <f>HYPERLINK("file:///C:/Users/anye forti/Desktop/2025 FALL/426 COSC/YOLO_TESTING/bbox-snapshots/frame01761_id5146.png", "frame01761_id5146.png")</f>
        <v/>
      </c>
    </row>
    <row r="337">
      <c r="A337" t="n">
        <v>1763</v>
      </c>
      <c r="B337" t="n">
        <v>5205</v>
      </c>
      <c r="C337" t="n">
        <v>16920</v>
      </c>
      <c r="D337" t="n">
        <v>1</v>
      </c>
      <c r="E337">
        <f>HYPERLINK("file:///C:/Users/anye forti/Desktop/2025 FALL/426 COSC/YOLO_TESTING/bbox-snapshots/frame01763_id5205.png", "frame01763_id5205.png")</f>
        <v/>
      </c>
    </row>
    <row r="338">
      <c r="A338" t="n">
        <v>1769</v>
      </c>
      <c r="B338" t="n">
        <v>5203</v>
      </c>
      <c r="C338" t="n">
        <v>33904</v>
      </c>
      <c r="D338" t="n">
        <v>1</v>
      </c>
      <c r="E338">
        <f>HYPERLINK("file:///C:/Users/anye forti/Desktop/2025 FALL/426 COSC/YOLO_TESTING/bbox-snapshots/frame01769_id5203.png", "frame01769_id5203.png")</f>
        <v/>
      </c>
    </row>
    <row r="339">
      <c r="A339" t="n">
        <v>1772</v>
      </c>
      <c r="B339" t="n">
        <v>5185</v>
      </c>
      <c r="C339" t="n">
        <v>45489</v>
      </c>
      <c r="D339" t="n">
        <v>1</v>
      </c>
      <c r="E339">
        <f>HYPERLINK("file:///C:/Users/anye forti/Desktop/2025 FALL/426 COSC/YOLO_TESTING/bbox-snapshots/frame01772_id5185.png", "frame01772_id5185.png")</f>
        <v/>
      </c>
    </row>
    <row r="340">
      <c r="A340" t="n">
        <v>1774</v>
      </c>
      <c r="B340" t="n">
        <v>5257</v>
      </c>
      <c r="C340" t="n">
        <v>33066</v>
      </c>
      <c r="D340" t="n">
        <v>1</v>
      </c>
      <c r="E340">
        <f>HYPERLINK("file:///C:/Users/anye forti/Desktop/2025 FALL/426 COSC/YOLO_TESTING/bbox-snapshots/frame01774_id5257.png", "frame01774_id5257.png")</f>
        <v/>
      </c>
    </row>
    <row r="341">
      <c r="A341" t="n">
        <v>1775</v>
      </c>
      <c r="B341" t="n">
        <v>5222</v>
      </c>
      <c r="C341" t="n">
        <v>32912</v>
      </c>
      <c r="D341" t="n">
        <v>1</v>
      </c>
      <c r="E341">
        <f>HYPERLINK("file:///C:/Users/anye forti/Desktop/2025 FALL/426 COSC/YOLO_TESTING/bbox-snapshots/frame01775_id5222.png", "frame01775_id5222.png")</f>
        <v/>
      </c>
    </row>
    <row r="342">
      <c r="A342" t="n">
        <v>1785</v>
      </c>
      <c r="B342" t="n">
        <v>5361</v>
      </c>
      <c r="C342" t="n">
        <v>40596</v>
      </c>
      <c r="D342" t="n">
        <v>1</v>
      </c>
      <c r="E342">
        <f>HYPERLINK("file:///C:/Users/anye forti/Desktop/2025 FALL/426 COSC/YOLO_TESTING/bbox-snapshots/frame01785_id5361.png", "frame01785_id5361.png")</f>
        <v/>
      </c>
    </row>
    <row r="343">
      <c r="A343" t="n">
        <v>1790</v>
      </c>
      <c r="B343" t="n">
        <v>5287</v>
      </c>
      <c r="C343" t="n">
        <v>32760</v>
      </c>
      <c r="D343" t="n">
        <v>1</v>
      </c>
      <c r="E343">
        <f>HYPERLINK("file:///C:/Users/anye forti/Desktop/2025 FALL/426 COSC/YOLO_TESTING/bbox-snapshots/frame01790_id5287.png", "frame01790_id5287.png")</f>
        <v/>
      </c>
    </row>
    <row r="344">
      <c r="A344" t="n">
        <v>1791</v>
      </c>
      <c r="B344" t="n">
        <v>5269</v>
      </c>
      <c r="C344" t="n">
        <v>25414</v>
      </c>
      <c r="D344" t="n">
        <v>1</v>
      </c>
      <c r="E344">
        <f>HYPERLINK("file:///C:/Users/anye forti/Desktop/2025 FALL/426 COSC/YOLO_TESTING/bbox-snapshots/frame01791_id5269.png", "frame01791_id5269.png")</f>
        <v/>
      </c>
    </row>
    <row r="345">
      <c r="A345" t="n">
        <v>1794</v>
      </c>
      <c r="B345" t="n">
        <v>5300</v>
      </c>
      <c r="C345" t="n">
        <v>28188</v>
      </c>
      <c r="D345" t="n">
        <v>1</v>
      </c>
      <c r="E345">
        <f>HYPERLINK("file:///C:/Users/anye forti/Desktop/2025 FALL/426 COSC/YOLO_TESTING/bbox-snapshots/frame01794_id5300.png", "frame01794_id5300.png")</f>
        <v/>
      </c>
    </row>
    <row r="346">
      <c r="A346" t="n">
        <v>1800</v>
      </c>
      <c r="B346" t="n">
        <v>5349</v>
      </c>
      <c r="C346" t="n">
        <v>52832</v>
      </c>
      <c r="D346" t="n">
        <v>1</v>
      </c>
      <c r="E346">
        <f>HYPERLINK("file:///C:/Users/anye forti/Desktop/2025 FALL/426 COSC/YOLO_TESTING/bbox-snapshots/frame01800_id5349.png", "frame01800_id5349.png")</f>
        <v/>
      </c>
    </row>
    <row r="347">
      <c r="A347" t="n">
        <v>1801</v>
      </c>
      <c r="B347" t="n">
        <v>5322</v>
      </c>
      <c r="C347" t="n">
        <v>88214</v>
      </c>
      <c r="D347" t="n">
        <v>2</v>
      </c>
      <c r="E347">
        <f>HYPERLINK("file:///C:/Users/anye forti/Desktop/2025 FALL/426 COSC/YOLO_TESTING/bbox-snapshots/frame01801_id5322.png", "frame01801_id5322.png")</f>
        <v/>
      </c>
    </row>
    <row r="348">
      <c r="A348" t="n">
        <v>1812</v>
      </c>
      <c r="B348" t="n">
        <v>5423</v>
      </c>
      <c r="C348" t="n">
        <v>37835</v>
      </c>
      <c r="D348" t="n">
        <v>1</v>
      </c>
      <c r="E348">
        <f>HYPERLINK("file:///C:/Users/anye forti/Desktop/2025 FALL/426 COSC/YOLO_TESTING/bbox-snapshots/frame01812_id5423.png", "frame01812_id5423.png")</f>
        <v/>
      </c>
    </row>
    <row r="349">
      <c r="A349" t="n">
        <v>1819</v>
      </c>
      <c r="B349" t="n">
        <v>5412</v>
      </c>
      <c r="C349" t="n">
        <v>50944</v>
      </c>
      <c r="D349" t="n">
        <v>1</v>
      </c>
      <c r="E349">
        <f>HYPERLINK("file:///C:/Users/anye forti/Desktop/2025 FALL/426 COSC/YOLO_TESTING/bbox-snapshots/frame01819_id5412.png", "frame01819_id5412.png")</f>
        <v/>
      </c>
    </row>
    <row r="350">
      <c r="A350" t="n">
        <v>1829</v>
      </c>
      <c r="B350" t="n">
        <v>5433</v>
      </c>
      <c r="C350" t="n">
        <v>64448</v>
      </c>
      <c r="D350" t="n">
        <v>2</v>
      </c>
      <c r="E350">
        <f>HYPERLINK("file:///C:/Users/anye forti/Desktop/2025 FALL/426 COSC/YOLO_TESTING/bbox-snapshots/frame01829_id5433.png", "frame01829_id5433.png")</f>
        <v/>
      </c>
    </row>
    <row r="351">
      <c r="A351" t="n">
        <v>1830</v>
      </c>
      <c r="B351" t="n">
        <v>5434</v>
      </c>
      <c r="C351" t="n">
        <v>34780</v>
      </c>
      <c r="D351" t="n">
        <v>1</v>
      </c>
      <c r="E351">
        <f>HYPERLINK("file:///C:/Users/anye forti/Desktop/2025 FALL/426 COSC/YOLO_TESTING/bbox-snapshots/frame01830_id5434.png", "frame01830_id5434.png")</f>
        <v/>
      </c>
    </row>
    <row r="352">
      <c r="A352" t="n">
        <v>1841</v>
      </c>
      <c r="B352" t="n">
        <v>5473</v>
      </c>
      <c r="C352" t="n">
        <v>41472</v>
      </c>
      <c r="D352" t="n">
        <v>1</v>
      </c>
      <c r="E352">
        <f>HYPERLINK("file:///C:/Users/anye forti/Desktop/2025 FALL/426 COSC/YOLO_TESTING/bbox-snapshots/frame01841_id5473.png", "frame01841_id5473.png")</f>
        <v/>
      </c>
    </row>
    <row r="353">
      <c r="A353" t="n">
        <v>1842</v>
      </c>
      <c r="B353" t="n">
        <v>5482</v>
      </c>
      <c r="C353" t="n">
        <v>85762</v>
      </c>
      <c r="D353" t="n">
        <v>2</v>
      </c>
      <c r="E353">
        <f>HYPERLINK("file:///C:/Users/anye forti/Desktop/2025 FALL/426 COSC/YOLO_TESTING/bbox-snapshots/frame01842_id5482.png", "frame01842_id5482.png")</f>
        <v/>
      </c>
    </row>
    <row r="354">
      <c r="A354" t="n">
        <v>1859</v>
      </c>
      <c r="B354" t="n">
        <v>5512</v>
      </c>
      <c r="C354" t="n">
        <v>41173</v>
      </c>
      <c r="D354" t="n">
        <v>1</v>
      </c>
      <c r="E354">
        <f>HYPERLINK("file:///C:/Users/anye forti/Desktop/2025 FALL/426 COSC/YOLO_TESTING/bbox-snapshots/frame01859_id5512.png", "frame01859_id5512.png")</f>
        <v/>
      </c>
    </row>
    <row r="355">
      <c r="A355" t="n">
        <v>1861</v>
      </c>
      <c r="B355" t="n">
        <v>5495</v>
      </c>
      <c r="C355" t="n">
        <v>45136</v>
      </c>
      <c r="D355" t="n">
        <v>1</v>
      </c>
      <c r="E355">
        <f>HYPERLINK("file:///C:/Users/anye forti/Desktop/2025 FALL/426 COSC/YOLO_TESTING/bbox-snapshots/frame01861_id5495.png", "frame01861_id5495.png")</f>
        <v/>
      </c>
    </row>
    <row r="356">
      <c r="A356" t="n">
        <v>1863</v>
      </c>
      <c r="B356" t="n">
        <v>5527</v>
      </c>
      <c r="C356" t="n">
        <v>32560</v>
      </c>
      <c r="D356" t="n">
        <v>1</v>
      </c>
      <c r="E356">
        <f>HYPERLINK("file:///C:/Users/anye forti/Desktop/2025 FALL/426 COSC/YOLO_TESTING/bbox-snapshots/frame01863_id5527.png", "frame01863_id5527.png")</f>
        <v/>
      </c>
    </row>
    <row r="357">
      <c r="A357" t="n">
        <v>1875</v>
      </c>
      <c r="B357" t="n">
        <v>5538</v>
      </c>
      <c r="C357" t="n">
        <v>45431</v>
      </c>
      <c r="D357" t="n">
        <v>1</v>
      </c>
      <c r="E357">
        <f>HYPERLINK("file:///C:/Users/anye forti/Desktop/2025 FALL/426 COSC/YOLO_TESTING/bbox-snapshots/frame01875_id5538.png", "frame01875_id5538.png")</f>
        <v/>
      </c>
    </row>
    <row r="358">
      <c r="A358" t="n">
        <v>1884</v>
      </c>
      <c r="B358" t="n">
        <v>5521</v>
      </c>
      <c r="C358" t="n">
        <v>37245</v>
      </c>
      <c r="D358" t="n">
        <v>1</v>
      </c>
      <c r="E358">
        <f>HYPERLINK("file:///C:/Users/anye forti/Desktop/2025 FALL/426 COSC/YOLO_TESTING/bbox-snapshots/frame01884_id5521.png", "frame01884_id5521.png")</f>
        <v/>
      </c>
    </row>
    <row r="359">
      <c r="A359" t="n">
        <v>1884</v>
      </c>
      <c r="B359" t="n">
        <v>5567</v>
      </c>
      <c r="C359" t="n">
        <v>39372</v>
      </c>
      <c r="D359" t="n">
        <v>1</v>
      </c>
      <c r="E359">
        <f>HYPERLINK("file:///C:/Users/anye forti/Desktop/2025 FALL/426 COSC/YOLO_TESTING/bbox-snapshots/frame01884_id5567.png", "frame01884_id5567.png")</f>
        <v/>
      </c>
    </row>
    <row r="360">
      <c r="A360" t="n">
        <v>1895</v>
      </c>
      <c r="B360" t="n">
        <v>5577</v>
      </c>
      <c r="C360" t="n">
        <v>46420</v>
      </c>
      <c r="D360" t="n">
        <v>1</v>
      </c>
      <c r="E360">
        <f>HYPERLINK("file:///C:/Users/anye forti/Desktop/2025 FALL/426 COSC/YOLO_TESTING/bbox-snapshots/frame01895_id5577.png", "frame01895_id5577.png")</f>
        <v/>
      </c>
    </row>
    <row r="361">
      <c r="A361" t="n">
        <v>1896</v>
      </c>
      <c r="B361" t="n">
        <v>5597</v>
      </c>
      <c r="C361" t="n">
        <v>39390</v>
      </c>
      <c r="D361" t="n">
        <v>1</v>
      </c>
      <c r="E361">
        <f>HYPERLINK("file:///C:/Users/anye forti/Desktop/2025 FALL/426 COSC/YOLO_TESTING/bbox-snapshots/frame01896_id5597.png", "frame01896_id5597.png")</f>
        <v/>
      </c>
    </row>
    <row r="362">
      <c r="A362" t="n">
        <v>1900</v>
      </c>
      <c r="B362" t="n">
        <v>5610</v>
      </c>
      <c r="C362" t="n">
        <v>43466</v>
      </c>
      <c r="D362" t="n">
        <v>1</v>
      </c>
      <c r="E362">
        <f>HYPERLINK("file:///C:/Users/anye forti/Desktop/2025 FALL/426 COSC/YOLO_TESTING/bbox-snapshots/frame01900_id5610.png", "frame01900_id5610.png")</f>
        <v/>
      </c>
    </row>
    <row r="363">
      <c r="A363" t="n">
        <v>1909</v>
      </c>
      <c r="B363" t="n">
        <v>5614</v>
      </c>
      <c r="C363" t="n">
        <v>52160</v>
      </c>
      <c r="D363" t="n">
        <v>1</v>
      </c>
      <c r="E363">
        <f>HYPERLINK("file:///C:/Users/anye forti/Desktop/2025 FALL/426 COSC/YOLO_TESTING/bbox-snapshots/frame01909_id5614.png", "frame01909_id5614.png")</f>
        <v/>
      </c>
    </row>
    <row r="364">
      <c r="A364" t="n">
        <v>1911</v>
      </c>
      <c r="B364" t="n">
        <v>5621</v>
      </c>
      <c r="C364" t="n">
        <v>47616</v>
      </c>
      <c r="D364" t="n">
        <v>1</v>
      </c>
      <c r="E364">
        <f>HYPERLINK("file:///C:/Users/anye forti/Desktop/2025 FALL/426 COSC/YOLO_TESTING/bbox-snapshots/frame01911_id5621.png", "frame01911_id5621.png")</f>
        <v/>
      </c>
    </row>
    <row r="365">
      <c r="A365" t="n">
        <v>1912</v>
      </c>
      <c r="B365" t="n">
        <v>5626</v>
      </c>
      <c r="C365" t="n">
        <v>33127</v>
      </c>
      <c r="D365" t="n">
        <v>1</v>
      </c>
      <c r="E365">
        <f>HYPERLINK("file:///C:/Users/anye forti/Desktop/2025 FALL/426 COSC/YOLO_TESTING/bbox-snapshots/frame01912_id5626.png", "frame01912_id5626.png")</f>
        <v/>
      </c>
    </row>
    <row r="366">
      <c r="A366" t="n">
        <v>1922</v>
      </c>
      <c r="B366" t="n">
        <v>5645</v>
      </c>
      <c r="C366" t="n">
        <v>49335</v>
      </c>
      <c r="D366" t="n">
        <v>1</v>
      </c>
      <c r="E366">
        <f>HYPERLINK("file:///C:/Users/anye forti/Desktop/2025 FALL/426 COSC/YOLO_TESTING/bbox-snapshots/frame01922_id5645.png", "frame01922_id5645.png")</f>
        <v/>
      </c>
    </row>
    <row r="367">
      <c r="A367" t="n">
        <v>1923</v>
      </c>
      <c r="B367" t="n">
        <v>5650</v>
      </c>
      <c r="C367" t="n">
        <v>35640</v>
      </c>
      <c r="D367" t="n">
        <v>1</v>
      </c>
      <c r="E367">
        <f>HYPERLINK("file:///C:/Users/anye forti/Desktop/2025 FALL/426 COSC/YOLO_TESTING/bbox-snapshots/frame01923_id5650.png", "frame01923_id5650.png")</f>
        <v/>
      </c>
    </row>
    <row r="368">
      <c r="A368" t="n">
        <v>1934</v>
      </c>
      <c r="B368" t="n">
        <v>5671</v>
      </c>
      <c r="C368" t="n">
        <v>46128</v>
      </c>
      <c r="D368" t="n">
        <v>1</v>
      </c>
      <c r="E368">
        <f>HYPERLINK("file:///C:/Users/anye forti/Desktop/2025 FALL/426 COSC/YOLO_TESTING/bbox-snapshots/frame01934_id5671.png", "frame01934_id5671.png")</f>
        <v/>
      </c>
    </row>
    <row r="369">
      <c r="A369" t="n">
        <v>1970</v>
      </c>
      <c r="B369" t="n">
        <v>5712</v>
      </c>
      <c r="C369" t="n">
        <v>51888</v>
      </c>
      <c r="D369" t="n">
        <v>1</v>
      </c>
      <c r="E369">
        <f>HYPERLINK("file:///C:/Users/anye forti/Desktop/2025 FALL/426 COSC/YOLO_TESTING/bbox-snapshots/frame01970_id5712.png", "frame01970_id5712.png")</f>
        <v/>
      </c>
    </row>
    <row r="370">
      <c r="A370" t="n">
        <v>1972</v>
      </c>
      <c r="B370" t="n">
        <v>5711</v>
      </c>
      <c r="C370" t="n">
        <v>51506</v>
      </c>
      <c r="D370" t="n">
        <v>1</v>
      </c>
      <c r="E370">
        <f>HYPERLINK("file:///C:/Users/anye forti/Desktop/2025 FALL/426 COSC/YOLO_TESTING/bbox-snapshots/frame01972_id5711.png", "frame01972_id5711.png")</f>
        <v/>
      </c>
    </row>
    <row r="371">
      <c r="A371" t="n">
        <v>1982</v>
      </c>
      <c r="B371" t="n">
        <v>5722</v>
      </c>
      <c r="C371" t="n">
        <v>59540</v>
      </c>
      <c r="D371" t="n">
        <v>2</v>
      </c>
      <c r="E371">
        <f>HYPERLINK("file:///C:/Users/anye forti/Desktop/2025 FALL/426 COSC/YOLO_TESTING/bbox-snapshots/frame01982_id5722.png", "frame01982_id5722.png")</f>
        <v/>
      </c>
    </row>
    <row r="372">
      <c r="A372" t="n">
        <v>2036</v>
      </c>
      <c r="B372" t="n">
        <v>5741</v>
      </c>
      <c r="C372" t="n">
        <v>40198</v>
      </c>
      <c r="D372" t="n">
        <v>1</v>
      </c>
      <c r="E372">
        <f>HYPERLINK("file:///C:/Users/anye forti/Desktop/2025 FALL/426 COSC/YOLO_TESTING/bbox-snapshots/frame02036_id5741.png", "frame02036_id5741.png")</f>
        <v/>
      </c>
    </row>
    <row r="373">
      <c r="A373" t="n">
        <v>2047</v>
      </c>
      <c r="B373" t="n">
        <v>5750</v>
      </c>
      <c r="C373" t="n">
        <v>38522</v>
      </c>
      <c r="D373" t="n">
        <v>1</v>
      </c>
      <c r="E373">
        <f>HYPERLINK("file:///C:/Users/anye forti/Desktop/2025 FALL/426 COSC/YOLO_TESTING/bbox-snapshots/frame02047_id5750.png", "frame02047_id5750.png")</f>
        <v/>
      </c>
    </row>
    <row r="374">
      <c r="A374" t="n">
        <v>2056</v>
      </c>
      <c r="B374" t="n">
        <v>5745</v>
      </c>
      <c r="C374" t="n">
        <v>64512</v>
      </c>
      <c r="D374" t="n">
        <v>2</v>
      </c>
      <c r="E374">
        <f>HYPERLINK("file:///C:/Users/anye forti/Desktop/2025 FALL/426 COSC/YOLO_TESTING/bbox-snapshots/frame02056_id5745.png", "frame02056_id5745.png")</f>
        <v/>
      </c>
    </row>
    <row r="375">
      <c r="A375" t="n">
        <v>2058</v>
      </c>
      <c r="B375" t="n">
        <v>5758</v>
      </c>
      <c r="C375" t="n">
        <v>48222</v>
      </c>
      <c r="D375" t="n">
        <v>1</v>
      </c>
      <c r="E375">
        <f>HYPERLINK("file:///C:/Users/anye forti/Desktop/2025 FALL/426 COSC/YOLO_TESTING/bbox-snapshots/frame02058_id5758.png", "frame02058_id5758.png")</f>
        <v/>
      </c>
    </row>
    <row r="376">
      <c r="A376" t="n">
        <v>2081</v>
      </c>
      <c r="B376" t="n">
        <v>5768</v>
      </c>
      <c r="C376" t="n">
        <v>63891</v>
      </c>
      <c r="D376" t="n">
        <v>2</v>
      </c>
      <c r="E376">
        <f>HYPERLINK("file:///C:/Users/anye forti/Desktop/2025 FALL/426 COSC/YOLO_TESTING/bbox-snapshots/frame02081_id5768.png", "frame02081_id5768.png")</f>
        <v/>
      </c>
    </row>
    <row r="377">
      <c r="A377" t="n">
        <v>2085</v>
      </c>
      <c r="B377" t="n">
        <v>5774</v>
      </c>
      <c r="C377" t="n">
        <v>48208</v>
      </c>
      <c r="D377" t="n">
        <v>1</v>
      </c>
      <c r="E377">
        <f>HYPERLINK("file:///C:/Users/anye forti/Desktop/2025 FALL/426 COSC/YOLO_TESTING/bbox-snapshots/frame02085_id5774.png", "frame02085_id5774.png")</f>
        <v/>
      </c>
    </row>
    <row r="378">
      <c r="A378" t="n">
        <v>2095</v>
      </c>
      <c r="B378" t="n">
        <v>5786</v>
      </c>
      <c r="C378" t="n">
        <v>59032</v>
      </c>
      <c r="D378" t="n">
        <v>1</v>
      </c>
      <c r="E378">
        <f>HYPERLINK("file:///C:/Users/anye forti/Desktop/2025 FALL/426 COSC/YOLO_TESTING/bbox-snapshots/frame02095_id5786.png", "frame02095_id5786.png")</f>
        <v/>
      </c>
    </row>
    <row r="379">
      <c r="A379" t="n">
        <v>2104</v>
      </c>
      <c r="B379" t="n">
        <v>5791</v>
      </c>
      <c r="C379" t="n">
        <v>48198</v>
      </c>
      <c r="D379" t="n">
        <v>1</v>
      </c>
      <c r="E379">
        <f>HYPERLINK("file:///C:/Users/anye forti/Desktop/2025 FALL/426 COSC/YOLO_TESTING/bbox-snapshots/frame02104_id5791.png", "frame02104_id5791.png")</f>
        <v/>
      </c>
    </row>
    <row r="380">
      <c r="A380" t="n">
        <v>2105</v>
      </c>
      <c r="B380" t="n">
        <v>5793</v>
      </c>
      <c r="C380" t="n">
        <v>45526</v>
      </c>
      <c r="D380" t="n">
        <v>1</v>
      </c>
      <c r="E380">
        <f>HYPERLINK("file:///C:/Users/anye forti/Desktop/2025 FALL/426 COSC/YOLO_TESTING/bbox-snapshots/frame02105_id5793.png", "frame02105_id5793.png")</f>
        <v/>
      </c>
    </row>
    <row r="381">
      <c r="A381" t="n">
        <v>2122</v>
      </c>
      <c r="B381" t="n">
        <v>5818</v>
      </c>
      <c r="C381" t="n">
        <v>74368</v>
      </c>
      <c r="D381" t="n">
        <v>2</v>
      </c>
      <c r="E381">
        <f>HYPERLINK("file:///C:/Users/anye forti/Desktop/2025 FALL/426 COSC/YOLO_TESTING/bbox-snapshots/frame02122_id5818.png", "frame02122_id5818.png")</f>
        <v/>
      </c>
    </row>
    <row r="382">
      <c r="A382" t="n">
        <v>2122</v>
      </c>
      <c r="B382" t="n">
        <v>5819</v>
      </c>
      <c r="C382" t="n">
        <v>47435</v>
      </c>
      <c r="D382" t="n">
        <v>1</v>
      </c>
      <c r="E382">
        <f>HYPERLINK("file:///C:/Users/anye forti/Desktop/2025 FALL/426 COSC/YOLO_TESTING/bbox-snapshots/frame02122_id5819.png", "frame02122_id5819.png")</f>
        <v/>
      </c>
    </row>
    <row r="383">
      <c r="A383" t="n">
        <v>2127</v>
      </c>
      <c r="B383" t="n">
        <v>5828</v>
      </c>
      <c r="C383" t="n">
        <v>55620</v>
      </c>
      <c r="D383" t="n">
        <v>1</v>
      </c>
      <c r="E383">
        <f>HYPERLINK("file:///C:/Users/anye forti/Desktop/2025 FALL/426 COSC/YOLO_TESTING/bbox-snapshots/frame02127_id5828.png", "frame02127_id5828.png")</f>
        <v/>
      </c>
    </row>
    <row r="384">
      <c r="A384" t="n">
        <v>2127</v>
      </c>
      <c r="B384" t="n">
        <v>5874</v>
      </c>
      <c r="C384" t="n">
        <v>24832</v>
      </c>
      <c r="D384" t="n">
        <v>1</v>
      </c>
      <c r="E384">
        <f>HYPERLINK("file:///C:/Users/anye forti/Desktop/2025 FALL/426 COSC/YOLO_TESTING/bbox-snapshots/frame02127_id5874.png", "frame02127_id5874.png")</f>
        <v/>
      </c>
    </row>
    <row r="385">
      <c r="A385" t="n">
        <v>2131</v>
      </c>
      <c r="B385" t="n">
        <v>5852</v>
      </c>
      <c r="C385" t="n">
        <v>15120</v>
      </c>
      <c r="D385" t="n">
        <v>1</v>
      </c>
      <c r="E385">
        <f>HYPERLINK("file:///C:/Users/anye forti/Desktop/2025 FALL/426 COSC/YOLO_TESTING/bbox-snapshots/frame02131_id5852.png", "frame02131_id5852.png")</f>
        <v/>
      </c>
    </row>
    <row r="386">
      <c r="A386" t="n">
        <v>2134</v>
      </c>
      <c r="B386" t="n">
        <v>5861</v>
      </c>
      <c r="C386" t="n">
        <v>13300</v>
      </c>
      <c r="D386" t="n">
        <v>1</v>
      </c>
      <c r="E386">
        <f>HYPERLINK("file:///C:/Users/anye forti/Desktop/2025 FALL/426 COSC/YOLO_TESTING/bbox-snapshots/frame02134_id5861.png", "frame02134_id5861.png")</f>
        <v/>
      </c>
    </row>
    <row r="387">
      <c r="A387" t="n">
        <v>2137</v>
      </c>
      <c r="B387" t="n">
        <v>5864</v>
      </c>
      <c r="C387" t="n">
        <v>43792</v>
      </c>
      <c r="D387" t="n">
        <v>1</v>
      </c>
      <c r="E387">
        <f>HYPERLINK("file:///C:/Users/anye forti/Desktop/2025 FALL/426 COSC/YOLO_TESTING/bbox-snapshots/frame02137_id5864.png", "frame02137_id5864.png")</f>
        <v/>
      </c>
    </row>
    <row r="388">
      <c r="A388" t="n">
        <v>2161</v>
      </c>
      <c r="B388" t="n">
        <v>5922</v>
      </c>
      <c r="C388" t="n">
        <v>59455</v>
      </c>
      <c r="D388" t="n">
        <v>1</v>
      </c>
      <c r="E388">
        <f>HYPERLINK("file:///C:/Users/anye forti/Desktop/2025 FALL/426 COSC/YOLO_TESTING/bbox-snapshots/frame02161_id5922.png", "frame02161_id5922.png")</f>
        <v/>
      </c>
    </row>
    <row r="389">
      <c r="A389" t="n">
        <v>2161</v>
      </c>
      <c r="B389" t="n">
        <v>5925</v>
      </c>
      <c r="C389" t="n">
        <v>43790</v>
      </c>
      <c r="D389" t="n">
        <v>1</v>
      </c>
      <c r="E389">
        <f>HYPERLINK("file:///C:/Users/anye forti/Desktop/2025 FALL/426 COSC/YOLO_TESTING/bbox-snapshots/frame02161_id5925.png", "frame02161_id5925.png")</f>
        <v/>
      </c>
    </row>
    <row r="390">
      <c r="A390" t="n">
        <v>2165</v>
      </c>
      <c r="B390" t="n">
        <v>5958</v>
      </c>
      <c r="C390" t="n">
        <v>20727</v>
      </c>
      <c r="D390" t="n">
        <v>1</v>
      </c>
      <c r="E390">
        <f>HYPERLINK("file:///C:/Users/anye forti/Desktop/2025 FALL/426 COSC/YOLO_TESTING/bbox-snapshots/frame02165_id5958.png", "frame02165_id5958.png")</f>
        <v/>
      </c>
    </row>
    <row r="391">
      <c r="A391" t="n">
        <v>2166</v>
      </c>
      <c r="B391" t="n">
        <v>5960</v>
      </c>
      <c r="C391" t="n">
        <v>11060</v>
      </c>
      <c r="D391" t="n">
        <v>0</v>
      </c>
      <c r="E391">
        <f>HYPERLINK("file:///C:/Users/anye forti/Desktop/2025 FALL/426 COSC/YOLO_TESTING/bbox-snapshots/frame02166_id5960.png", "frame02166_id5960.png")</f>
        <v/>
      </c>
    </row>
    <row r="392">
      <c r="A392" t="n">
        <v>2169</v>
      </c>
      <c r="B392" t="n">
        <v>5942</v>
      </c>
      <c r="C392" t="n">
        <v>28724</v>
      </c>
      <c r="D392" t="n">
        <v>1</v>
      </c>
      <c r="E392">
        <f>HYPERLINK("file:///C:/Users/anye forti/Desktop/2025 FALL/426 COSC/YOLO_TESTING/bbox-snapshots/frame02169_id5942.png", "frame02169_id5942.png")</f>
        <v/>
      </c>
    </row>
    <row r="393">
      <c r="A393" t="n">
        <v>2184</v>
      </c>
      <c r="B393" t="n">
        <v>5966</v>
      </c>
      <c r="C393" t="n">
        <v>62628</v>
      </c>
      <c r="D393" t="n">
        <v>2</v>
      </c>
      <c r="E393">
        <f>HYPERLINK("file:///C:/Users/anye forti/Desktop/2025 FALL/426 COSC/YOLO_TESTING/bbox-snapshots/frame02184_id5966.png", "frame02184_id5966.png")</f>
        <v/>
      </c>
    </row>
    <row r="394">
      <c r="A394" t="n">
        <v>2192</v>
      </c>
      <c r="B394" t="n">
        <v>5973</v>
      </c>
      <c r="C394" t="n">
        <v>36666</v>
      </c>
      <c r="D394" t="n">
        <v>1</v>
      </c>
      <c r="E394">
        <f>HYPERLINK("file:///C:/Users/anye forti/Desktop/2025 FALL/426 COSC/YOLO_TESTING/bbox-snapshots/frame02192_id5973.png", "frame02192_id5973.png")</f>
        <v/>
      </c>
    </row>
    <row r="395">
      <c r="A395" t="n">
        <v>2192</v>
      </c>
      <c r="B395" t="n">
        <v>5972</v>
      </c>
      <c r="C395" t="n">
        <v>43020</v>
      </c>
      <c r="D395" t="n">
        <v>1</v>
      </c>
      <c r="E395">
        <f>HYPERLINK("file:///C:/Users/anye forti/Desktop/2025 FALL/426 COSC/YOLO_TESTING/bbox-snapshots/frame02192_id5972.png", "frame02192_id5972.png")</f>
        <v/>
      </c>
    </row>
    <row r="396">
      <c r="A396" t="n">
        <v>2200</v>
      </c>
      <c r="B396" t="n">
        <v>5985</v>
      </c>
      <c r="C396" t="n">
        <v>29202</v>
      </c>
      <c r="D396" t="n">
        <v>1</v>
      </c>
      <c r="E396">
        <f>HYPERLINK("file:///C:/Users/anye forti/Desktop/2025 FALL/426 COSC/YOLO_TESTING/bbox-snapshots/frame02200_id5985.png", "frame02200_id5985.png")</f>
        <v/>
      </c>
    </row>
    <row r="397">
      <c r="A397" t="n">
        <v>2212</v>
      </c>
      <c r="B397" t="n">
        <v>5999</v>
      </c>
      <c r="C397" t="n">
        <v>51648</v>
      </c>
      <c r="D397" t="n">
        <v>1</v>
      </c>
      <c r="E397">
        <f>HYPERLINK("file:///C:/Users/anye forti/Desktop/2025 FALL/426 COSC/YOLO_TESTING/bbox-snapshots/frame02212_id5999.png", "frame02212_id5999.png")</f>
        <v/>
      </c>
    </row>
    <row r="398">
      <c r="A398" t="n">
        <v>2215</v>
      </c>
      <c r="B398" t="n">
        <v>6003</v>
      </c>
      <c r="C398" t="n">
        <v>29714</v>
      </c>
      <c r="D398" t="n">
        <v>1</v>
      </c>
      <c r="E398">
        <f>HYPERLINK("file:///C:/Users/anye forti/Desktop/2025 FALL/426 COSC/YOLO_TESTING/bbox-snapshots/frame02215_id6003.png", "frame02215_id6003.png")</f>
        <v/>
      </c>
    </row>
    <row r="399">
      <c r="A399" t="n">
        <v>2223</v>
      </c>
      <c r="B399" t="n">
        <v>6012</v>
      </c>
      <c r="C399" t="n">
        <v>50058</v>
      </c>
      <c r="D399" t="n">
        <v>1</v>
      </c>
      <c r="E399">
        <f>HYPERLINK("file:///C:/Users/anye forti/Desktop/2025 FALL/426 COSC/YOLO_TESTING/bbox-snapshots/frame02223_id6012.png", "frame02223_id6012.png")</f>
        <v/>
      </c>
    </row>
    <row r="400">
      <c r="A400" t="n">
        <v>2223</v>
      </c>
      <c r="B400" t="n">
        <v>6017</v>
      </c>
      <c r="C400" t="n">
        <v>45790</v>
      </c>
      <c r="D400" t="n">
        <v>1</v>
      </c>
      <c r="E400">
        <f>HYPERLINK("file:///C:/Users/anye forti/Desktop/2025 FALL/426 COSC/YOLO_TESTING/bbox-snapshots/frame02223_id6017.png", "frame02223_id6017.png")</f>
        <v/>
      </c>
    </row>
    <row r="401">
      <c r="A401" t="n">
        <v>2225</v>
      </c>
      <c r="B401" t="n">
        <v>6108</v>
      </c>
      <c r="C401" t="n">
        <v>64670</v>
      </c>
      <c r="D401" t="n">
        <v>2</v>
      </c>
      <c r="E401">
        <f>HYPERLINK("file:///C:/Users/anye forti/Desktop/2025 FALL/426 COSC/YOLO_TESTING/bbox-snapshots/frame02225_id6108.png", "frame02225_id6108.png")</f>
        <v/>
      </c>
    </row>
    <row r="402">
      <c r="A402" t="n">
        <v>2231</v>
      </c>
      <c r="B402" t="n">
        <v>6066</v>
      </c>
      <c r="C402" t="n">
        <v>37881</v>
      </c>
      <c r="D402" t="n">
        <v>1</v>
      </c>
      <c r="E402">
        <f>HYPERLINK("file:///C:/Users/anye forti/Desktop/2025 FALL/426 COSC/YOLO_TESTING/bbox-snapshots/frame02231_id6066.png", "frame02231_id6066.png")</f>
        <v/>
      </c>
    </row>
    <row r="403">
      <c r="A403" t="n">
        <v>2237</v>
      </c>
      <c r="B403" t="n">
        <v>6081</v>
      </c>
      <c r="C403" t="n">
        <v>27300</v>
      </c>
      <c r="D403" t="n">
        <v>1</v>
      </c>
      <c r="E403">
        <f>HYPERLINK("file:///C:/Users/anye forti/Desktop/2025 FALL/426 COSC/YOLO_TESTING/bbox-snapshots/frame02237_id6081.png", "frame02237_id6081.png")</f>
        <v/>
      </c>
    </row>
    <row r="404">
      <c r="A404" t="n">
        <v>2238</v>
      </c>
      <c r="B404" t="n">
        <v>6132</v>
      </c>
      <c r="C404" t="n">
        <v>50167</v>
      </c>
      <c r="D404" t="n">
        <v>1</v>
      </c>
      <c r="E404">
        <f>HYPERLINK("file:///C:/Users/anye forti/Desktop/2025 FALL/426 COSC/YOLO_TESTING/bbox-snapshots/frame02238_id6132.png", "frame02238_id6132.png")</f>
        <v/>
      </c>
    </row>
    <row r="405">
      <c r="A405" t="n">
        <v>2239</v>
      </c>
      <c r="B405" t="n">
        <v>6151</v>
      </c>
      <c r="C405" t="n">
        <v>17160</v>
      </c>
      <c r="D405" t="n">
        <v>1</v>
      </c>
      <c r="E405">
        <f>HYPERLINK("file:///C:/Users/anye forti/Desktop/2025 FALL/426 COSC/YOLO_TESTING/bbox-snapshots/frame02239_id6151.png", "frame02239_id6151.png")</f>
        <v/>
      </c>
    </row>
    <row r="406">
      <c r="A406" t="n">
        <v>2244</v>
      </c>
      <c r="B406" t="n">
        <v>6096</v>
      </c>
      <c r="C406" t="n">
        <v>30141</v>
      </c>
      <c r="D406" t="n">
        <v>1</v>
      </c>
      <c r="E406">
        <f>HYPERLINK("file:///C:/Users/anye forti/Desktop/2025 FALL/426 COSC/YOLO_TESTING/bbox-snapshots/frame02244_id6096.png", "frame02244_id6096.png")</f>
        <v/>
      </c>
    </row>
    <row r="407">
      <c r="A407" t="n">
        <v>2245</v>
      </c>
      <c r="B407" t="n">
        <v>6091</v>
      </c>
      <c r="C407" t="n">
        <v>39160</v>
      </c>
      <c r="D407" t="n">
        <v>1</v>
      </c>
      <c r="E407">
        <f>HYPERLINK("file:///C:/Users/anye forti/Desktop/2025 FALL/426 COSC/YOLO_TESTING/bbox-snapshots/frame02245_id6091.png", "frame02245_id6091.png")</f>
        <v/>
      </c>
    </row>
    <row r="408">
      <c r="A408" t="n">
        <v>2248</v>
      </c>
      <c r="B408" t="n">
        <v>6122</v>
      </c>
      <c r="C408" t="n">
        <v>22914</v>
      </c>
      <c r="D408" t="n">
        <v>1</v>
      </c>
      <c r="E408">
        <f>HYPERLINK("file:///C:/Users/anye forti/Desktop/2025 FALL/426 COSC/YOLO_TESTING/bbox-snapshots/frame02248_id6122.png", "frame02248_id6122.png")</f>
        <v/>
      </c>
    </row>
    <row r="409">
      <c r="A409" t="n">
        <v>2249</v>
      </c>
      <c r="B409" t="n">
        <v>6154</v>
      </c>
      <c r="C409" t="n">
        <v>34760</v>
      </c>
      <c r="D409" t="n">
        <v>1</v>
      </c>
      <c r="E409">
        <f>HYPERLINK("file:///C:/Users/anye forti/Desktop/2025 FALL/426 COSC/YOLO_TESTING/bbox-snapshots/frame02249_id6154.png", "frame02249_id6154.png")</f>
        <v/>
      </c>
    </row>
    <row r="410">
      <c r="A410" t="n">
        <v>2251</v>
      </c>
      <c r="B410" t="n">
        <v>6179</v>
      </c>
      <c r="C410" t="n">
        <v>59655</v>
      </c>
      <c r="D410" t="n">
        <v>2</v>
      </c>
      <c r="E410">
        <f>HYPERLINK("file:///C:/Users/anye forti/Desktop/2025 FALL/426 COSC/YOLO_TESTING/bbox-snapshots/frame02251_id6179.png", "frame02251_id6179.png")</f>
        <v/>
      </c>
    </row>
    <row r="411">
      <c r="A411" t="n">
        <v>2254</v>
      </c>
      <c r="B411" t="n">
        <v>6202</v>
      </c>
      <c r="C411" t="n">
        <v>34496</v>
      </c>
      <c r="D411" t="n">
        <v>1</v>
      </c>
      <c r="E411">
        <f>HYPERLINK("file:///C:/Users/anye forti/Desktop/2025 FALL/426 COSC/YOLO_TESTING/bbox-snapshots/frame02254_id6202.png", "frame02254_id6202.png")</f>
        <v/>
      </c>
    </row>
    <row r="412">
      <c r="A412" t="n">
        <v>2257</v>
      </c>
      <c r="B412" t="n">
        <v>6118</v>
      </c>
      <c r="C412" t="n">
        <v>13674</v>
      </c>
      <c r="D412" t="n">
        <v>1</v>
      </c>
      <c r="E412">
        <f>HYPERLINK("file:///C:/Users/anye forti/Desktop/2025 FALL/426 COSC/YOLO_TESTING/bbox-snapshots/frame02257_id6118.png", "frame02257_id6118.png")</f>
        <v/>
      </c>
    </row>
    <row r="413">
      <c r="A413" t="n">
        <v>2263</v>
      </c>
      <c r="B413" t="n">
        <v>6111</v>
      </c>
      <c r="C413" t="n">
        <v>55010</v>
      </c>
      <c r="D413" t="n">
        <v>1</v>
      </c>
      <c r="E413">
        <f>HYPERLINK("file:///C:/Users/anye forti/Desktop/2025 FALL/426 COSC/YOLO_TESTING/bbox-snapshots/frame02263_id6111.png", "frame02263_id6111.png")</f>
        <v/>
      </c>
    </row>
    <row r="414">
      <c r="A414" t="n">
        <v>2267</v>
      </c>
      <c r="B414" t="n">
        <v>6175</v>
      </c>
      <c r="C414" t="n">
        <v>57514</v>
      </c>
      <c r="D414" t="n">
        <v>1</v>
      </c>
      <c r="E414">
        <f>HYPERLINK("file:///C:/Users/anye forti/Desktop/2025 FALL/426 COSC/YOLO_TESTING/bbox-snapshots/frame02267_id6175.png", "frame02267_id6175.png")</f>
        <v/>
      </c>
    </row>
    <row r="415">
      <c r="A415" t="n">
        <v>2277</v>
      </c>
      <c r="B415" t="n">
        <v>6196</v>
      </c>
      <c r="C415" t="n">
        <v>46374</v>
      </c>
      <c r="D415" t="n">
        <v>1</v>
      </c>
      <c r="E415">
        <f>HYPERLINK("file:///C:/Users/anye forti/Desktop/2025 FALL/426 COSC/YOLO_TESTING/bbox-snapshots/frame02277_id6196.png", "frame02277_id6196.png")</f>
        <v/>
      </c>
    </row>
    <row r="416">
      <c r="A416" t="n">
        <v>2284</v>
      </c>
      <c r="B416" t="n">
        <v>6221</v>
      </c>
      <c r="C416" t="n">
        <v>62241</v>
      </c>
      <c r="D416" t="n">
        <v>2</v>
      </c>
      <c r="E416">
        <f>HYPERLINK("file:///C:/Users/anye forti/Desktop/2025 FALL/426 COSC/YOLO_TESTING/bbox-snapshots/frame02284_id6221.png", "frame02284_id6221.png")</f>
        <v/>
      </c>
    </row>
    <row r="417">
      <c r="A417" t="n">
        <v>2288</v>
      </c>
      <c r="B417" t="n">
        <v>6295</v>
      </c>
      <c r="C417" t="n">
        <v>72709</v>
      </c>
      <c r="D417" t="n">
        <v>2</v>
      </c>
      <c r="E417">
        <f>HYPERLINK("file:///C:/Users/anye forti/Desktop/2025 FALL/426 COSC/YOLO_TESTING/bbox-snapshots/frame02288_id6295.png", "frame02288_id6295.png")</f>
        <v/>
      </c>
    </row>
    <row r="418">
      <c r="A418" t="n">
        <v>2290</v>
      </c>
      <c r="B418" t="n">
        <v>6271</v>
      </c>
      <c r="C418" t="n">
        <v>30150</v>
      </c>
      <c r="D418" t="n">
        <v>1</v>
      </c>
      <c r="E418">
        <f>HYPERLINK("file:///C:/Users/anye forti/Desktop/2025 FALL/426 COSC/YOLO_TESTING/bbox-snapshots/frame02290_id6271.png", "frame02290_id6271.png")</f>
        <v/>
      </c>
    </row>
    <row r="419">
      <c r="A419" t="n">
        <v>2298</v>
      </c>
      <c r="B419" t="n">
        <v>6274</v>
      </c>
      <c r="C419" t="n">
        <v>22320</v>
      </c>
      <c r="D419" t="n">
        <v>1</v>
      </c>
      <c r="E419">
        <f>HYPERLINK("file:///C:/Users/anye forti/Desktop/2025 FALL/426 COSC/YOLO_TESTING/bbox-snapshots/frame02298_id6274.png", "frame02298_id6274.png")</f>
        <v/>
      </c>
    </row>
    <row r="420">
      <c r="A420" t="n">
        <v>2299</v>
      </c>
      <c r="B420" t="n">
        <v>6298</v>
      </c>
      <c r="C420" t="n">
        <v>55189</v>
      </c>
      <c r="D420" t="n">
        <v>1</v>
      </c>
      <c r="E420">
        <f>HYPERLINK("file:///C:/Users/anye forti/Desktop/2025 FALL/426 COSC/YOLO_TESTING/bbox-snapshots/frame02299_id6298.png", "frame02299_id6298.png")</f>
        <v/>
      </c>
    </row>
    <row r="421">
      <c r="A421" t="n">
        <v>2302</v>
      </c>
      <c r="B421" t="n">
        <v>6307</v>
      </c>
      <c r="C421" t="n">
        <v>12644</v>
      </c>
      <c r="D421" t="n">
        <v>1</v>
      </c>
      <c r="E421">
        <f>HYPERLINK("file:///C:/Users/anye forti/Desktop/2025 FALL/426 COSC/YOLO_TESTING/bbox-snapshots/frame02302_id6307.png", "frame02302_id6307.png")</f>
        <v/>
      </c>
    </row>
    <row r="422">
      <c r="A422" t="n">
        <v>2316</v>
      </c>
      <c r="B422" t="n">
        <v>6346</v>
      </c>
      <c r="C422" t="n">
        <v>39366</v>
      </c>
      <c r="D422" t="n">
        <v>1</v>
      </c>
      <c r="E422">
        <f>HYPERLINK("file:///C:/Users/anye forti/Desktop/2025 FALL/426 COSC/YOLO_TESTING/bbox-snapshots/frame02316_id6346.png", "frame02316_id6346.png")</f>
        <v/>
      </c>
    </row>
    <row r="423">
      <c r="A423" t="n">
        <v>2318</v>
      </c>
      <c r="B423" t="n">
        <v>6224</v>
      </c>
      <c r="C423" t="n">
        <v>39690</v>
      </c>
      <c r="D423" t="n">
        <v>1</v>
      </c>
      <c r="E423">
        <f>HYPERLINK("file:///C:/Users/anye forti/Desktop/2025 FALL/426 COSC/YOLO_TESTING/bbox-snapshots/frame02318_id6224.png", "frame02318_id6224.png")</f>
        <v/>
      </c>
    </row>
    <row r="424">
      <c r="A424" t="n">
        <v>2319</v>
      </c>
      <c r="B424" t="n">
        <v>6358</v>
      </c>
      <c r="C424" t="n">
        <v>53856</v>
      </c>
      <c r="D424" t="n">
        <v>1</v>
      </c>
      <c r="E424">
        <f>HYPERLINK("file:///C:/Users/anye forti/Desktop/2025 FALL/426 COSC/YOLO_TESTING/bbox-snapshots/frame02319_id6358.png", "frame02319_id6358.png")</f>
        <v/>
      </c>
    </row>
    <row r="425">
      <c r="A425" t="n">
        <v>2321</v>
      </c>
      <c r="B425" t="n">
        <v>6450</v>
      </c>
      <c r="C425" t="n">
        <v>23688</v>
      </c>
      <c r="D425" t="n">
        <v>1</v>
      </c>
      <c r="E425">
        <f>HYPERLINK("file:///C:/Users/anye forti/Desktop/2025 FALL/426 COSC/YOLO_TESTING/bbox-snapshots/frame02321_id6450.png", "frame02321_id6450.png")</f>
        <v/>
      </c>
    </row>
    <row r="426">
      <c r="A426" t="n">
        <v>2326</v>
      </c>
      <c r="B426" t="n">
        <v>6407</v>
      </c>
      <c r="C426" t="n">
        <v>38220</v>
      </c>
      <c r="D426" t="n">
        <v>1</v>
      </c>
      <c r="E426">
        <f>HYPERLINK("file:///C:/Users/anye forti/Desktop/2025 FALL/426 COSC/YOLO_TESTING/bbox-snapshots/frame02326_id6407.png", "frame02326_id6407.png")</f>
        <v/>
      </c>
    </row>
    <row r="427">
      <c r="A427" t="n">
        <v>2330</v>
      </c>
      <c r="B427" t="n">
        <v>6400</v>
      </c>
      <c r="C427" t="n">
        <v>26741</v>
      </c>
      <c r="D427" t="n">
        <v>1</v>
      </c>
      <c r="E427">
        <f>HYPERLINK("file:///C:/Users/anye forti/Desktop/2025 FALL/426 COSC/YOLO_TESTING/bbox-snapshots/frame02330_id6400.png", "frame02330_id6400.png")</f>
        <v/>
      </c>
    </row>
    <row r="428">
      <c r="A428" t="n">
        <v>2341</v>
      </c>
      <c r="B428" t="n">
        <v>6443</v>
      </c>
      <c r="C428" t="n">
        <v>35916</v>
      </c>
      <c r="D428" t="n">
        <v>1</v>
      </c>
      <c r="E428">
        <f>HYPERLINK("file:///C:/Users/anye forti/Desktop/2025 FALL/426 COSC/YOLO_TESTING/bbox-snapshots/frame02341_id6443.png", "frame02341_id6443.png")</f>
        <v/>
      </c>
    </row>
    <row r="429">
      <c r="A429" t="n">
        <v>2344</v>
      </c>
      <c r="B429" t="n">
        <v>6448</v>
      </c>
      <c r="C429" t="n">
        <v>62014</v>
      </c>
      <c r="D429" t="n">
        <v>2</v>
      </c>
      <c r="E429">
        <f>HYPERLINK("file:///C:/Users/anye forti/Desktop/2025 FALL/426 COSC/YOLO_TESTING/bbox-snapshots/frame02344_id6448.png", "frame02344_id6448.png")</f>
        <v/>
      </c>
    </row>
    <row r="430">
      <c r="A430" t="n">
        <v>2345</v>
      </c>
      <c r="B430" t="n">
        <v>6344</v>
      </c>
      <c r="C430" t="n">
        <v>44178</v>
      </c>
      <c r="D430" t="n">
        <v>1</v>
      </c>
      <c r="E430">
        <f>HYPERLINK("file:///C:/Users/anye forti/Desktop/2025 FALL/426 COSC/YOLO_TESTING/bbox-snapshots/frame02345_id6344.png", "frame02345_id6344.png")</f>
        <v/>
      </c>
    </row>
    <row r="431">
      <c r="A431" t="n">
        <v>2354</v>
      </c>
      <c r="B431" t="n">
        <v>6478</v>
      </c>
      <c r="C431" t="n">
        <v>44275</v>
      </c>
      <c r="D431" t="n">
        <v>1</v>
      </c>
      <c r="E431">
        <f>HYPERLINK("file:///C:/Users/anye forti/Desktop/2025 FALL/426 COSC/YOLO_TESTING/bbox-snapshots/frame02354_id6478.png", "frame02354_id6478.png")</f>
        <v/>
      </c>
    </row>
    <row r="432">
      <c r="A432" t="n">
        <v>2354</v>
      </c>
      <c r="B432" t="n">
        <v>6494</v>
      </c>
      <c r="C432" t="n">
        <v>33670</v>
      </c>
      <c r="D432" t="n">
        <v>1</v>
      </c>
      <c r="E432">
        <f>HYPERLINK("file:///C:/Users/anye forti/Desktop/2025 FALL/426 COSC/YOLO_TESTING/bbox-snapshots/frame02354_id6494.png", "frame02354_id6494.png")</f>
        <v/>
      </c>
    </row>
    <row r="433">
      <c r="A433" t="n">
        <v>2363</v>
      </c>
      <c r="B433" t="n">
        <v>6512</v>
      </c>
      <c r="C433" t="n">
        <v>30108</v>
      </c>
      <c r="D433" t="n">
        <v>1</v>
      </c>
      <c r="E433">
        <f>HYPERLINK("file:///C:/Users/anye forti/Desktop/2025 FALL/426 COSC/YOLO_TESTING/bbox-snapshots/frame02363_id6512.png", "frame02363_id6512.png")</f>
        <v/>
      </c>
    </row>
    <row r="434">
      <c r="A434" t="n">
        <v>2370</v>
      </c>
      <c r="B434" t="n">
        <v>6530</v>
      </c>
      <c r="C434" t="n">
        <v>47880</v>
      </c>
      <c r="D434" t="n">
        <v>1</v>
      </c>
      <c r="E434">
        <f>HYPERLINK("file:///C:/Users/anye forti/Desktop/2025 FALL/426 COSC/YOLO_TESTING/bbox-snapshots/frame02370_id6530.png", "frame02370_id6530.png")</f>
        <v/>
      </c>
    </row>
    <row r="435">
      <c r="A435" t="n">
        <v>2374</v>
      </c>
      <c r="B435" t="n">
        <v>6537</v>
      </c>
      <c r="C435" t="n">
        <v>56635</v>
      </c>
      <c r="D435" t="n">
        <v>1</v>
      </c>
      <c r="E435">
        <f>HYPERLINK("file:///C:/Users/anye forti/Desktop/2025 FALL/426 COSC/YOLO_TESTING/bbox-snapshots/frame02374_id6537.png", "frame02374_id6537.png")</f>
        <v/>
      </c>
    </row>
    <row r="436">
      <c r="A436" t="n">
        <v>2378</v>
      </c>
      <c r="B436" t="n">
        <v>6554</v>
      </c>
      <c r="C436" t="n">
        <v>36166</v>
      </c>
      <c r="D436" t="n">
        <v>1</v>
      </c>
      <c r="E436">
        <f>HYPERLINK("file:///C:/Users/anye forti/Desktop/2025 FALL/426 COSC/YOLO_TESTING/bbox-snapshots/frame02378_id6554.png", "frame02378_id6554.png")</f>
        <v/>
      </c>
    </row>
    <row r="437">
      <c r="A437" t="n">
        <v>2387</v>
      </c>
      <c r="B437" t="n">
        <v>6540</v>
      </c>
      <c r="C437" t="n">
        <v>40176</v>
      </c>
      <c r="D437" t="n">
        <v>1</v>
      </c>
      <c r="E437">
        <f>HYPERLINK("file:///C:/Users/anye forti/Desktop/2025 FALL/426 COSC/YOLO_TESTING/bbox-snapshots/frame02387_id6540.png", "frame02387_id6540.png")</f>
        <v/>
      </c>
    </row>
    <row r="438">
      <c r="A438" t="n">
        <v>2391</v>
      </c>
      <c r="B438" t="n">
        <v>6593</v>
      </c>
      <c r="C438" t="n">
        <v>44274</v>
      </c>
      <c r="D438" t="n">
        <v>1</v>
      </c>
      <c r="E438">
        <f>HYPERLINK("file:///C:/Users/anye forti/Desktop/2025 FALL/426 COSC/YOLO_TESTING/bbox-snapshots/frame02391_id6593.png", "frame02391_id6593.png")</f>
        <v/>
      </c>
    </row>
    <row r="439">
      <c r="A439" t="n">
        <v>2402</v>
      </c>
      <c r="B439" t="n">
        <v>6615</v>
      </c>
      <c r="C439" t="n">
        <v>59040</v>
      </c>
      <c r="D439" t="n">
        <v>1</v>
      </c>
      <c r="E439">
        <f>HYPERLINK("file:///C:/Users/anye forti/Desktop/2025 FALL/426 COSC/YOLO_TESTING/bbox-snapshots/frame02402_id6615.png", "frame02402_id6615.png")</f>
        <v/>
      </c>
    </row>
    <row r="440">
      <c r="A440" t="n">
        <v>2409</v>
      </c>
      <c r="B440" t="n">
        <v>6635</v>
      </c>
      <c r="C440" t="n">
        <v>38192</v>
      </c>
      <c r="D440" t="n">
        <v>1</v>
      </c>
      <c r="E440">
        <f>HYPERLINK("file:///C:/Users/anye forti/Desktop/2025 FALL/426 COSC/YOLO_TESTING/bbox-snapshots/frame02409_id6635.png", "frame02409_id6635.png")</f>
        <v/>
      </c>
    </row>
    <row r="441">
      <c r="A441" t="n">
        <v>2410</v>
      </c>
      <c r="B441" t="n">
        <v>6649</v>
      </c>
      <c r="C441" t="n">
        <v>58590</v>
      </c>
      <c r="D441" t="n">
        <v>1</v>
      </c>
      <c r="E441">
        <f>HYPERLINK("file:///C:/Users/anye forti/Desktop/2025 FALL/426 COSC/YOLO_TESTING/bbox-snapshots/frame02410_id6649.png", "frame02410_id6649.png")</f>
        <v/>
      </c>
    </row>
    <row r="442">
      <c r="A442" t="n">
        <v>2414</v>
      </c>
      <c r="B442" t="n">
        <v>6757</v>
      </c>
      <c r="C442" t="n">
        <v>16731</v>
      </c>
      <c r="D442" t="n">
        <v>1</v>
      </c>
      <c r="E442">
        <f>HYPERLINK("file:///C:/Users/anye forti/Desktop/2025 FALL/426 COSC/YOLO_TESTING/bbox-snapshots/frame02414_id6757.png", "frame02414_id6757.png")</f>
        <v/>
      </c>
    </row>
    <row r="443">
      <c r="A443" t="n">
        <v>2416</v>
      </c>
      <c r="B443" t="n">
        <v>6719</v>
      </c>
      <c r="C443" t="n">
        <v>30107</v>
      </c>
      <c r="D443" t="n">
        <v>1</v>
      </c>
      <c r="E443">
        <f>HYPERLINK("file:///C:/Users/anye forti/Desktop/2025 FALL/426 COSC/YOLO_TESTING/bbox-snapshots/frame02416_id6719.png", "frame02416_id6719.png")</f>
        <v/>
      </c>
    </row>
    <row r="444">
      <c r="A444" t="n">
        <v>2422</v>
      </c>
      <c r="B444" t="n">
        <v>6675</v>
      </c>
      <c r="C444" t="n">
        <v>35316</v>
      </c>
      <c r="D444" t="n">
        <v>1</v>
      </c>
      <c r="E444">
        <f>HYPERLINK("file:///C:/Users/anye forti/Desktop/2025 FALL/426 COSC/YOLO_TESTING/bbox-snapshots/frame02422_id6675.png", "frame02422_id6675.png")</f>
        <v/>
      </c>
    </row>
    <row r="445">
      <c r="A445" t="n">
        <v>2425</v>
      </c>
      <c r="B445" t="n">
        <v>6805</v>
      </c>
      <c r="C445" t="n">
        <v>22960</v>
      </c>
      <c r="D445" t="n">
        <v>1</v>
      </c>
      <c r="E445">
        <f>HYPERLINK("file:///C:/Users/anye forti/Desktop/2025 FALL/426 COSC/YOLO_TESTING/bbox-snapshots/frame02425_id6805.png", "frame02425_id6805.png")</f>
        <v/>
      </c>
    </row>
    <row r="446">
      <c r="A446" t="n">
        <v>2425</v>
      </c>
      <c r="B446" t="n">
        <v>6792</v>
      </c>
      <c r="C446" t="n">
        <v>60171</v>
      </c>
      <c r="D446" t="n">
        <v>2</v>
      </c>
      <c r="E446">
        <f>HYPERLINK("file:///C:/Users/anye forti/Desktop/2025 FALL/426 COSC/YOLO_TESTING/bbox-snapshots/frame02425_id6792.png", "frame02425_id6792.png")</f>
        <v/>
      </c>
    </row>
    <row r="447">
      <c r="A447" t="n">
        <v>2428</v>
      </c>
      <c r="B447" t="n">
        <v>6713</v>
      </c>
      <c r="C447" t="n">
        <v>53757</v>
      </c>
      <c r="D447" t="n">
        <v>1</v>
      </c>
      <c r="E447">
        <f>HYPERLINK("file:///C:/Users/anye forti/Desktop/2025 FALL/426 COSC/YOLO_TESTING/bbox-snapshots/frame02428_id6713.png", "frame02428_id6713.png")</f>
        <v/>
      </c>
    </row>
    <row r="448">
      <c r="A448" t="n">
        <v>2433</v>
      </c>
      <c r="B448" t="n">
        <v>6745</v>
      </c>
      <c r="C448" t="n">
        <v>50875</v>
      </c>
      <c r="D448" t="n">
        <v>1</v>
      </c>
      <c r="E448">
        <f>HYPERLINK("file:///C:/Users/anye forti/Desktop/2025 FALL/426 COSC/YOLO_TESTING/bbox-snapshots/frame02433_id6745.png", "frame02433_id6745.png")</f>
        <v/>
      </c>
    </row>
    <row r="449">
      <c r="A449" t="n">
        <v>2434</v>
      </c>
      <c r="B449" t="n">
        <v>6737</v>
      </c>
      <c r="C449" t="n">
        <v>46096</v>
      </c>
      <c r="D449" t="n">
        <v>1</v>
      </c>
      <c r="E449">
        <f>HYPERLINK("file:///C:/Users/anye forti/Desktop/2025 FALL/426 COSC/YOLO_TESTING/bbox-snapshots/frame02434_id6737.png", "frame02434_id6737.png")</f>
        <v/>
      </c>
    </row>
    <row r="450">
      <c r="A450" t="n">
        <v>2438</v>
      </c>
      <c r="B450" t="n">
        <v>6798</v>
      </c>
      <c r="C450" t="n">
        <v>21590</v>
      </c>
      <c r="D450" t="n">
        <v>1</v>
      </c>
      <c r="E450">
        <f>HYPERLINK("file:///C:/Users/anye forti/Desktop/2025 FALL/426 COSC/YOLO_TESTING/bbox-snapshots/frame02438_id6798.png", "frame02438_id6798.png")</f>
        <v/>
      </c>
    </row>
    <row r="451">
      <c r="A451" t="n">
        <v>2443</v>
      </c>
      <c r="B451" t="n">
        <v>6803</v>
      </c>
      <c r="C451" t="n">
        <v>36023</v>
      </c>
      <c r="D451" t="n">
        <v>1</v>
      </c>
      <c r="E451">
        <f>HYPERLINK("file:///C:/Users/anye forti/Desktop/2025 FALL/426 COSC/YOLO_TESTING/bbox-snapshots/frame02443_id6803.png", "frame02443_id6803.png")</f>
        <v/>
      </c>
    </row>
    <row r="452">
      <c r="A452" t="n">
        <v>2447</v>
      </c>
      <c r="B452" t="n">
        <v>6790</v>
      </c>
      <c r="C452" t="n">
        <v>48006</v>
      </c>
      <c r="D452" t="n">
        <v>1</v>
      </c>
      <c r="E452">
        <f>HYPERLINK("file:///C:/Users/anye forti/Desktop/2025 FALL/426 COSC/YOLO_TESTING/bbox-snapshots/frame02447_id6790.png", "frame02447_id6790.png")</f>
        <v/>
      </c>
    </row>
    <row r="453">
      <c r="A453" t="n">
        <v>2450</v>
      </c>
      <c r="B453" t="n">
        <v>6836</v>
      </c>
      <c r="C453" t="n">
        <v>17399</v>
      </c>
      <c r="D453" t="n">
        <v>1</v>
      </c>
      <c r="E453">
        <f>HYPERLINK("file:///C:/Users/anye forti/Desktop/2025 FALL/426 COSC/YOLO_TESTING/bbox-snapshots/frame02450_id6836.png", "frame02450_id6836.png")</f>
        <v/>
      </c>
    </row>
    <row r="454">
      <c r="A454" t="n">
        <v>2454</v>
      </c>
      <c r="B454" t="n">
        <v>6833</v>
      </c>
      <c r="C454" t="n">
        <v>49938</v>
      </c>
      <c r="D454" t="n">
        <v>1</v>
      </c>
      <c r="E454">
        <f>HYPERLINK("file:///C:/Users/anye forti/Desktop/2025 FALL/426 COSC/YOLO_TESTING/bbox-snapshots/frame02454_id6833.png", "frame02454_id6833.png")</f>
        <v/>
      </c>
    </row>
    <row r="455">
      <c r="A455" t="n">
        <v>2463</v>
      </c>
      <c r="B455" t="n">
        <v>6767</v>
      </c>
      <c r="C455" t="n">
        <v>57181</v>
      </c>
      <c r="D455" t="n">
        <v>1</v>
      </c>
      <c r="E455">
        <f>HYPERLINK("file:///C:/Users/anye forti/Desktop/2025 FALL/426 COSC/YOLO_TESTING/bbox-snapshots/frame02463_id6767.png", "frame02463_id6767.png")</f>
        <v/>
      </c>
    </row>
    <row r="456">
      <c r="A456" t="n">
        <v>2473</v>
      </c>
      <c r="B456" t="n">
        <v>6898</v>
      </c>
      <c r="C456" t="n">
        <v>39990</v>
      </c>
      <c r="D456" t="n">
        <v>1</v>
      </c>
      <c r="E456">
        <f>HYPERLINK("file:///C:/Users/anye forti/Desktop/2025 FALL/426 COSC/YOLO_TESTING/bbox-snapshots/frame02473_id6898.png", "frame02473_id6898.png")</f>
        <v/>
      </c>
    </row>
    <row r="457">
      <c r="A457" t="n">
        <v>2476</v>
      </c>
      <c r="B457" t="n">
        <v>6901</v>
      </c>
      <c r="C457" t="n">
        <v>30644</v>
      </c>
      <c r="D457" t="n">
        <v>1</v>
      </c>
      <c r="E457">
        <f>HYPERLINK("file:///C:/Users/anye forti/Desktop/2025 FALL/426 COSC/YOLO_TESTING/bbox-snapshots/frame02476_id6901.png", "frame02476_id6901.png")</f>
        <v/>
      </c>
    </row>
    <row r="458">
      <c r="A458" t="n">
        <v>2480</v>
      </c>
      <c r="B458" t="n">
        <v>6999</v>
      </c>
      <c r="C458" t="n">
        <v>43200</v>
      </c>
      <c r="D458" t="n">
        <v>1</v>
      </c>
      <c r="E458">
        <f>HYPERLINK("file:///C:/Users/anye forti/Desktop/2025 FALL/426 COSC/YOLO_TESTING/bbox-snapshots/frame02480_id6999.png", "frame02480_id6999.png")</f>
        <v/>
      </c>
    </row>
    <row r="459">
      <c r="A459" t="n">
        <v>2490</v>
      </c>
      <c r="B459" t="n">
        <v>6813</v>
      </c>
      <c r="C459" t="n">
        <v>47502</v>
      </c>
      <c r="D459" t="n">
        <v>1</v>
      </c>
      <c r="E459">
        <f>HYPERLINK("file:///C:/Users/anye forti/Desktop/2025 FALL/426 COSC/YOLO_TESTING/bbox-snapshots/frame02490_id6813.png", "frame02490_id6813.png")</f>
        <v/>
      </c>
    </row>
    <row r="460">
      <c r="A460" t="n">
        <v>2496</v>
      </c>
      <c r="B460" t="n">
        <v>6944</v>
      </c>
      <c r="C460" t="n">
        <v>38980</v>
      </c>
      <c r="D460" t="n">
        <v>1</v>
      </c>
      <c r="E460">
        <f>HYPERLINK("file:///C:/Users/anye forti/Desktop/2025 FALL/426 COSC/YOLO_TESTING/bbox-snapshots/frame02496_id6944.png", "frame02496_id6944.png")</f>
        <v/>
      </c>
    </row>
    <row r="461">
      <c r="A461" t="n">
        <v>2497</v>
      </c>
      <c r="B461" t="n">
        <v>6971</v>
      </c>
      <c r="C461" t="n">
        <v>25856</v>
      </c>
      <c r="D461" t="n">
        <v>1</v>
      </c>
      <c r="E461">
        <f>HYPERLINK("file:///C:/Users/anye forti/Desktop/2025 FALL/426 COSC/YOLO_TESTING/bbox-snapshots/frame02497_id6971.png", "frame02497_id6971.png")</f>
        <v/>
      </c>
    </row>
    <row r="462">
      <c r="A462" t="n">
        <v>2497</v>
      </c>
      <c r="B462" t="n">
        <v>6996</v>
      </c>
      <c r="C462" t="n">
        <v>37101</v>
      </c>
      <c r="D462" t="n">
        <v>1</v>
      </c>
      <c r="E462">
        <f>HYPERLINK("file:///C:/Users/anye forti/Desktop/2025 FALL/426 COSC/YOLO_TESTING/bbox-snapshots/frame02497_id6996.png", "frame02497_id6996.png")</f>
        <v/>
      </c>
    </row>
    <row r="463">
      <c r="A463" t="n">
        <v>2497</v>
      </c>
      <c r="B463" t="n">
        <v>7008</v>
      </c>
      <c r="C463" t="n">
        <v>24830</v>
      </c>
      <c r="D463" t="n">
        <v>1</v>
      </c>
      <c r="E463">
        <f>HYPERLINK("file:///C:/Users/anye forti/Desktop/2025 FALL/426 COSC/YOLO_TESTING/bbox-snapshots/frame02497_id7008.png", "frame02497_id7008.png")</f>
        <v/>
      </c>
    </row>
    <row r="464">
      <c r="A464" t="n">
        <v>2499</v>
      </c>
      <c r="B464" t="n">
        <v>7013</v>
      </c>
      <c r="C464" t="n">
        <v>39501</v>
      </c>
      <c r="D464" t="n">
        <v>1</v>
      </c>
      <c r="E464">
        <f>HYPERLINK("file:///C:/Users/anye forti/Desktop/2025 FALL/426 COSC/YOLO_TESTING/bbox-snapshots/frame02499_id7013.png", "frame02499_id7013.png")</f>
        <v/>
      </c>
    </row>
    <row r="465">
      <c r="A465" t="n">
        <v>2502</v>
      </c>
      <c r="B465" t="n">
        <v>6975</v>
      </c>
      <c r="C465" t="n">
        <v>41001</v>
      </c>
      <c r="D465" t="n">
        <v>1</v>
      </c>
      <c r="E465">
        <f>HYPERLINK("file:///C:/Users/anye forti/Desktop/2025 FALL/426 COSC/YOLO_TESTING/bbox-snapshots/frame02502_id6975.png", "frame02502_id6975.png")</f>
        <v/>
      </c>
    </row>
    <row r="466">
      <c r="A466" t="n">
        <v>2504</v>
      </c>
      <c r="B466" t="n">
        <v>7061</v>
      </c>
      <c r="C466" t="n">
        <v>25025</v>
      </c>
      <c r="D466" t="n">
        <v>1</v>
      </c>
      <c r="E466">
        <f>HYPERLINK("file:///C:/Users/anye forti/Desktop/2025 FALL/426 COSC/YOLO_TESTING/bbox-snapshots/frame02504_id7061.png", "frame02504_id7061.png")</f>
        <v/>
      </c>
    </row>
    <row r="467">
      <c r="A467" t="n">
        <v>2505</v>
      </c>
      <c r="B467" t="n">
        <v>7028</v>
      </c>
      <c r="C467" t="n">
        <v>43172</v>
      </c>
      <c r="D467" t="n">
        <v>1</v>
      </c>
      <c r="E467">
        <f>HYPERLINK("file:///C:/Users/anye forti/Desktop/2025 FALL/426 COSC/YOLO_TESTING/bbox-snapshots/frame02505_id7028.png", "frame02505_id7028.png")</f>
        <v/>
      </c>
    </row>
    <row r="468">
      <c r="A468" t="n">
        <v>2508</v>
      </c>
      <c r="B468" t="n">
        <v>7037</v>
      </c>
      <c r="C468" t="n">
        <v>32538</v>
      </c>
      <c r="D468" t="n">
        <v>1</v>
      </c>
      <c r="E468">
        <f>HYPERLINK("file:///C:/Users/anye forti/Desktop/2025 FALL/426 COSC/YOLO_TESTING/bbox-snapshots/frame02508_id7037.png", "frame02508_id7037.png")</f>
        <v/>
      </c>
    </row>
    <row r="469">
      <c r="A469" t="n">
        <v>2514</v>
      </c>
      <c r="B469" t="n">
        <v>7167</v>
      </c>
      <c r="C469" t="n">
        <v>59568</v>
      </c>
      <c r="D469" t="n">
        <v>2</v>
      </c>
      <c r="E469">
        <f>HYPERLINK("file:///C:/Users/anye forti/Desktop/2025 FALL/426 COSC/YOLO_TESTING/bbox-snapshots/frame02514_id7167.png", "frame02514_id7167.png")</f>
        <v/>
      </c>
    </row>
    <row r="470">
      <c r="A470" t="n">
        <v>2517</v>
      </c>
      <c r="B470" t="n">
        <v>7096</v>
      </c>
      <c r="C470" t="n">
        <v>35154</v>
      </c>
      <c r="D470" t="n">
        <v>1</v>
      </c>
      <c r="E470">
        <f>HYPERLINK("file:///C:/Users/anye forti/Desktop/2025 FALL/426 COSC/YOLO_TESTING/bbox-snapshots/frame02517_id7096.png", "frame02517_id7096.png")</f>
        <v/>
      </c>
    </row>
    <row r="471">
      <c r="A471" t="n">
        <v>2520</v>
      </c>
      <c r="B471" t="n">
        <v>7098</v>
      </c>
      <c r="C471" t="n">
        <v>49959</v>
      </c>
      <c r="D471" t="n">
        <v>1</v>
      </c>
      <c r="E471">
        <f>HYPERLINK("file:///C:/Users/anye forti/Desktop/2025 FALL/426 COSC/YOLO_TESTING/bbox-snapshots/frame02520_id7098.png", "frame02520_id7098.png")</f>
        <v/>
      </c>
    </row>
    <row r="472">
      <c r="A472" t="n">
        <v>2521</v>
      </c>
      <c r="B472" t="n">
        <v>7126</v>
      </c>
      <c r="C472" t="n">
        <v>30100</v>
      </c>
      <c r="D472" t="n">
        <v>1</v>
      </c>
      <c r="E472">
        <f>HYPERLINK("file:///C:/Users/anye forti/Desktop/2025 FALL/426 COSC/YOLO_TESTING/bbox-snapshots/frame02521_id7126.png", "frame02521_id7126.png")</f>
        <v/>
      </c>
    </row>
    <row r="473">
      <c r="A473" t="n">
        <v>2530</v>
      </c>
      <c r="B473" t="n">
        <v>7194</v>
      </c>
      <c r="C473" t="n">
        <v>42547</v>
      </c>
      <c r="D473" t="n">
        <v>1</v>
      </c>
      <c r="E473">
        <f>HYPERLINK("file:///C:/Users/anye forti/Desktop/2025 FALL/426 COSC/YOLO_TESTING/bbox-snapshots/frame02530_id7194.png", "frame02530_id7194.png")</f>
        <v/>
      </c>
    </row>
    <row r="474">
      <c r="A474" t="n">
        <v>2531</v>
      </c>
      <c r="B474" t="n">
        <v>7148</v>
      </c>
      <c r="C474" t="n">
        <v>25479</v>
      </c>
      <c r="D474" t="n">
        <v>1</v>
      </c>
      <c r="E474">
        <f>HYPERLINK("file:///C:/Users/anye forti/Desktop/2025 FALL/426 COSC/YOLO_TESTING/bbox-snapshots/frame02531_id7148.png", "frame02531_id7148.png")</f>
        <v/>
      </c>
    </row>
    <row r="475">
      <c r="A475" t="n">
        <v>2539</v>
      </c>
      <c r="B475" t="n">
        <v>7176</v>
      </c>
      <c r="C475" t="n">
        <v>42064</v>
      </c>
      <c r="D475" t="n">
        <v>1</v>
      </c>
      <c r="E475">
        <f>HYPERLINK("file:///C:/Users/anye forti/Desktop/2025 FALL/426 COSC/YOLO_TESTING/bbox-snapshots/frame02539_id7176.png", "frame02539_id7176.png")</f>
        <v/>
      </c>
    </row>
    <row r="476">
      <c r="A476" t="n">
        <v>2545</v>
      </c>
      <c r="B476" t="n">
        <v>7294</v>
      </c>
      <c r="C476" t="n">
        <v>15540</v>
      </c>
      <c r="D476" t="n">
        <v>1</v>
      </c>
      <c r="E476">
        <f>HYPERLINK("file:///C:/Users/anye forti/Desktop/2025 FALL/426 COSC/YOLO_TESTING/bbox-snapshots/frame02545_id7294.png", "frame02545_id7294.png")</f>
        <v/>
      </c>
    </row>
    <row r="477">
      <c r="A477" t="n">
        <v>2548</v>
      </c>
      <c r="B477" t="n">
        <v>7235</v>
      </c>
      <c r="C477" t="n">
        <v>37368</v>
      </c>
      <c r="D477" t="n">
        <v>1</v>
      </c>
      <c r="E477">
        <f>HYPERLINK("file:///C:/Users/anye forti/Desktop/2025 FALL/426 COSC/YOLO_TESTING/bbox-snapshots/frame02548_id7235.png", "frame02548_id7235.png")</f>
        <v/>
      </c>
    </row>
    <row r="478">
      <c r="A478" t="n">
        <v>2551</v>
      </c>
      <c r="B478" t="n">
        <v>7237</v>
      </c>
      <c r="C478" t="n">
        <v>33432</v>
      </c>
      <c r="D478" t="n">
        <v>1</v>
      </c>
      <c r="E478">
        <f>HYPERLINK("file:///C:/Users/anye forti/Desktop/2025 FALL/426 COSC/YOLO_TESTING/bbox-snapshots/frame02551_id7237.png", "frame02551_id7237.png")</f>
        <v/>
      </c>
    </row>
    <row r="479">
      <c r="A479" t="n">
        <v>2556</v>
      </c>
      <c r="B479" t="n">
        <v>7252</v>
      </c>
      <c r="C479" t="n">
        <v>43255</v>
      </c>
      <c r="D479" t="n">
        <v>1</v>
      </c>
      <c r="E479">
        <f>HYPERLINK("file:///C:/Users/anye forti/Desktop/2025 FALL/426 COSC/YOLO_TESTING/bbox-snapshots/frame02556_id7252.png", "frame02556_id7252.png")</f>
        <v/>
      </c>
    </row>
    <row r="480">
      <c r="A480" t="n">
        <v>2559</v>
      </c>
      <c r="B480" t="n">
        <v>7184</v>
      </c>
      <c r="C480" t="n">
        <v>52059</v>
      </c>
      <c r="D480" t="n">
        <v>1</v>
      </c>
      <c r="E480">
        <f>HYPERLINK("file:///C:/Users/anye forti/Desktop/2025 FALL/426 COSC/YOLO_TESTING/bbox-snapshots/frame02559_id7184.png", "frame02559_id7184.png")</f>
        <v/>
      </c>
    </row>
    <row r="481">
      <c r="A481" t="n">
        <v>2570</v>
      </c>
      <c r="B481" t="n">
        <v>7323</v>
      </c>
      <c r="C481" t="n">
        <v>19188</v>
      </c>
      <c r="D481" t="n">
        <v>1</v>
      </c>
      <c r="E481">
        <f>HYPERLINK("file:///C:/Users/anye forti/Desktop/2025 FALL/426 COSC/YOLO_TESTING/bbox-snapshots/frame02570_id7323.png", "frame02570_id7323.png")</f>
        <v/>
      </c>
    </row>
    <row r="482">
      <c r="A482" t="n">
        <v>2571</v>
      </c>
      <c r="B482" t="n">
        <v>7379</v>
      </c>
      <c r="C482" t="n">
        <v>42676</v>
      </c>
      <c r="D482" t="n">
        <v>1</v>
      </c>
      <c r="E482">
        <f>HYPERLINK("file:///C:/Users/anye forti/Desktop/2025 FALL/426 COSC/YOLO_TESTING/bbox-snapshots/frame02571_id7379.png", "frame02571_id7379.png")</f>
        <v/>
      </c>
    </row>
    <row r="483">
      <c r="A483" t="n">
        <v>2572</v>
      </c>
      <c r="B483" t="n">
        <v>7322</v>
      </c>
      <c r="C483" t="n">
        <v>37056</v>
      </c>
      <c r="D483" t="n">
        <v>1</v>
      </c>
      <c r="E483">
        <f>HYPERLINK("file:///C:/Users/anye forti/Desktop/2025 FALL/426 COSC/YOLO_TESTING/bbox-snapshots/frame02572_id7322.png", "frame02572_id7322.png")</f>
        <v/>
      </c>
    </row>
    <row r="484">
      <c r="A484" t="n">
        <v>2577</v>
      </c>
      <c r="B484" t="n">
        <v>7314</v>
      </c>
      <c r="C484" t="n">
        <v>44590</v>
      </c>
      <c r="D484" t="n">
        <v>1</v>
      </c>
      <c r="E484">
        <f>HYPERLINK("file:///C:/Users/anye forti/Desktop/2025 FALL/426 COSC/YOLO_TESTING/bbox-snapshots/frame02577_id7314.png", "frame02577_id7314.png")</f>
        <v/>
      </c>
    </row>
    <row r="485">
      <c r="A485" t="n">
        <v>2580</v>
      </c>
      <c r="B485" t="n">
        <v>7424</v>
      </c>
      <c r="C485" t="n">
        <v>56898</v>
      </c>
      <c r="D485" t="n">
        <v>1</v>
      </c>
      <c r="E485">
        <f>HYPERLINK("file:///C:/Users/anye forti/Desktop/2025 FALL/426 COSC/YOLO_TESTING/bbox-snapshots/frame02580_id7424.png", "frame02580_id7424.png")</f>
        <v/>
      </c>
    </row>
    <row r="486">
      <c r="A486" t="n">
        <v>2584</v>
      </c>
      <c r="B486" t="n">
        <v>7427</v>
      </c>
      <c r="C486" t="n">
        <v>22491</v>
      </c>
      <c r="D486" t="n">
        <v>1</v>
      </c>
      <c r="E486">
        <f>HYPERLINK("file:///C:/Users/anye forti/Desktop/2025 FALL/426 COSC/YOLO_TESTING/bbox-snapshots/frame02584_id7427.png", "frame02584_id7427.png")</f>
        <v/>
      </c>
    </row>
    <row r="487">
      <c r="A487" t="n">
        <v>2591</v>
      </c>
      <c r="B487" t="n">
        <v>7398</v>
      </c>
      <c r="C487" t="n">
        <v>42940</v>
      </c>
      <c r="D487" t="n">
        <v>1</v>
      </c>
      <c r="E487">
        <f>HYPERLINK("file:///C:/Users/anye forti/Desktop/2025 FALL/426 COSC/YOLO_TESTING/bbox-snapshots/frame02591_id7398.png", "frame02591_id7398.png")</f>
        <v/>
      </c>
    </row>
    <row r="488">
      <c r="A488" t="n">
        <v>2592</v>
      </c>
      <c r="B488" t="n">
        <v>7366</v>
      </c>
      <c r="C488" t="n">
        <v>50000</v>
      </c>
      <c r="D488" t="n">
        <v>1</v>
      </c>
      <c r="E488">
        <f>HYPERLINK("file:///C:/Users/anye forti/Desktop/2025 FALL/426 COSC/YOLO_TESTING/bbox-snapshots/frame02592_id7366.png", "frame02592_id7366.png")</f>
        <v/>
      </c>
    </row>
    <row r="489">
      <c r="A489" t="n">
        <v>2600</v>
      </c>
      <c r="B489" t="n">
        <v>7431</v>
      </c>
      <c r="C489" t="n">
        <v>36024</v>
      </c>
      <c r="D489" t="n">
        <v>1</v>
      </c>
      <c r="E489">
        <f>HYPERLINK("file:///C:/Users/anye forti/Desktop/2025 FALL/426 COSC/YOLO_TESTING/bbox-snapshots/frame02600_id7431.png", "frame02600_id7431.png")</f>
        <v/>
      </c>
    </row>
    <row r="490">
      <c r="A490" t="n">
        <v>2602</v>
      </c>
      <c r="B490" t="n">
        <v>7274</v>
      </c>
      <c r="C490" t="n">
        <v>42120</v>
      </c>
      <c r="D490" t="n">
        <v>1</v>
      </c>
      <c r="E490">
        <f>HYPERLINK("file:///C:/Users/anye forti/Desktop/2025 FALL/426 COSC/YOLO_TESTING/bbox-snapshots/frame02602_id7274.png", "frame02602_id7274.png")</f>
        <v/>
      </c>
    </row>
    <row r="491">
      <c r="A491" t="n">
        <v>2605</v>
      </c>
      <c r="B491" t="n">
        <v>7450</v>
      </c>
      <c r="C491" t="n">
        <v>40376</v>
      </c>
      <c r="D491" t="n">
        <v>1</v>
      </c>
      <c r="E491">
        <f>HYPERLINK("file:///C:/Users/anye forti/Desktop/2025 FALL/426 COSC/YOLO_TESTING/bbox-snapshots/frame02605_id7450.png", "frame02605_id7450.png")</f>
        <v/>
      </c>
    </row>
    <row r="492">
      <c r="A492" t="n">
        <v>2607</v>
      </c>
      <c r="B492" t="n">
        <v>7478</v>
      </c>
      <c r="C492" t="n">
        <v>34773</v>
      </c>
      <c r="D492" t="n">
        <v>1</v>
      </c>
      <c r="E492">
        <f>HYPERLINK("file:///C:/Users/anye forti/Desktop/2025 FALL/426 COSC/YOLO_TESTING/bbox-snapshots/frame02607_id7478.png", "frame02607_id7478.png")</f>
        <v/>
      </c>
    </row>
    <row r="493">
      <c r="A493" t="n">
        <v>2613</v>
      </c>
      <c r="B493" t="n">
        <v>7548</v>
      </c>
      <c r="C493" t="n">
        <v>18696</v>
      </c>
      <c r="D493" t="n">
        <v>1</v>
      </c>
      <c r="E493">
        <f>HYPERLINK("file:///C:/Users/anye forti/Desktop/2025 FALL/426 COSC/YOLO_TESTING/bbox-snapshots/frame02613_id7548.png", "frame02613_id7548.png")</f>
        <v/>
      </c>
    </row>
    <row r="494">
      <c r="A494" t="n">
        <v>2615</v>
      </c>
      <c r="B494" t="n">
        <v>7493</v>
      </c>
      <c r="C494" t="n">
        <v>36294</v>
      </c>
      <c r="D494" t="n">
        <v>1</v>
      </c>
      <c r="E494">
        <f>HYPERLINK("file:///C:/Users/anye forti/Desktop/2025 FALL/426 COSC/YOLO_TESTING/bbox-snapshots/frame02615_id7493.png", "frame02615_id7493.png")</f>
        <v/>
      </c>
    </row>
    <row r="495">
      <c r="A495" t="n">
        <v>2616</v>
      </c>
      <c r="B495" t="n">
        <v>7497</v>
      </c>
      <c r="C495" t="n">
        <v>36168</v>
      </c>
      <c r="D495" t="n">
        <v>1</v>
      </c>
      <c r="E495">
        <f>HYPERLINK("file:///C:/Users/anye forti/Desktop/2025 FALL/426 COSC/YOLO_TESTING/bbox-snapshots/frame02616_id7497.png", "frame02616_id7497.png")</f>
        <v/>
      </c>
    </row>
    <row r="496">
      <c r="A496" t="n">
        <v>2625</v>
      </c>
      <c r="B496" t="n">
        <v>7535</v>
      </c>
      <c r="C496" t="n">
        <v>74124</v>
      </c>
      <c r="D496" t="n">
        <v>2</v>
      </c>
      <c r="E496">
        <f>HYPERLINK("file:///C:/Users/anye forti/Desktop/2025 FALL/426 COSC/YOLO_TESTING/bbox-snapshots/frame02625_id7535.png", "frame02625_id7535.png")</f>
        <v/>
      </c>
    </row>
    <row r="497">
      <c r="A497" t="n">
        <v>2632</v>
      </c>
      <c r="B497" t="n">
        <v>7525</v>
      </c>
      <c r="C497" t="n">
        <v>33957</v>
      </c>
      <c r="D497" t="n">
        <v>1</v>
      </c>
      <c r="E497">
        <f>HYPERLINK("file:///C:/Users/anye forti/Desktop/2025 FALL/426 COSC/YOLO_TESTING/bbox-snapshots/frame02632_id7525.png", "frame02632_id7525.png")</f>
        <v/>
      </c>
    </row>
    <row r="498">
      <c r="A498" t="n">
        <v>2635</v>
      </c>
      <c r="B498" t="n">
        <v>7518</v>
      </c>
      <c r="C498" t="n">
        <v>47175</v>
      </c>
      <c r="D498" t="n">
        <v>1</v>
      </c>
      <c r="E498">
        <f>HYPERLINK("file:///C:/Users/anye forti/Desktop/2025 FALL/426 COSC/YOLO_TESTING/bbox-snapshots/frame02635_id7518.png", "frame02635_id7518.png")</f>
        <v/>
      </c>
    </row>
    <row r="499">
      <c r="A499" t="n">
        <v>2639</v>
      </c>
      <c r="B499" t="n">
        <v>7587</v>
      </c>
      <c r="C499" t="n">
        <v>38025</v>
      </c>
      <c r="D499" t="n">
        <v>1</v>
      </c>
      <c r="E499">
        <f>HYPERLINK("file:///C:/Users/anye forti/Desktop/2025 FALL/426 COSC/YOLO_TESTING/bbox-snapshots/frame02639_id7587.png", "frame02639_id7587.png")</f>
        <v/>
      </c>
    </row>
    <row r="500">
      <c r="A500" t="n">
        <v>2645</v>
      </c>
      <c r="B500" t="n">
        <v>7368</v>
      </c>
      <c r="C500" t="n">
        <v>65762</v>
      </c>
      <c r="D500" t="n">
        <v>2</v>
      </c>
      <c r="E500">
        <f>HYPERLINK("file:///C:/Users/anye forti/Desktop/2025 FALL/426 COSC/YOLO_TESTING/bbox-snapshots/frame02645_id7368.png", "frame02645_id7368.png")</f>
        <v/>
      </c>
    </row>
    <row r="501">
      <c r="A501" t="n">
        <v>2651</v>
      </c>
      <c r="B501" t="n">
        <v>7643</v>
      </c>
      <c r="C501" t="n">
        <v>28884</v>
      </c>
      <c r="D501" t="n">
        <v>1</v>
      </c>
      <c r="E501">
        <f>HYPERLINK("file:///C:/Users/anye forti/Desktop/2025 FALL/426 COSC/YOLO_TESTING/bbox-snapshots/frame02651_id7643.png", "frame02651_id7643.png")</f>
        <v/>
      </c>
    </row>
    <row r="502">
      <c r="A502" t="n">
        <v>2654</v>
      </c>
      <c r="B502" t="n">
        <v>7662</v>
      </c>
      <c r="C502" t="n">
        <v>49728</v>
      </c>
      <c r="D502" t="n">
        <v>1</v>
      </c>
      <c r="E502">
        <f>HYPERLINK("file:///C:/Users/anye forti/Desktop/2025 FALL/426 COSC/YOLO_TESTING/bbox-snapshots/frame02654_id7662.png", "frame02654_id7662.png")</f>
        <v/>
      </c>
    </row>
    <row r="503">
      <c r="A503" t="n">
        <v>2685</v>
      </c>
      <c r="B503" t="n">
        <v>7704</v>
      </c>
      <c r="C503" t="n">
        <v>40755</v>
      </c>
      <c r="D503" t="n">
        <v>1</v>
      </c>
      <c r="E503">
        <f>HYPERLINK("file:///C:/Users/anye forti/Desktop/2025 FALL/426 COSC/YOLO_TESTING/bbox-snapshots/frame02685_id7704.png", "frame02685_id7704.png")</f>
        <v/>
      </c>
    </row>
    <row r="504">
      <c r="A504" t="n">
        <v>2690</v>
      </c>
      <c r="B504" t="n">
        <v>7713</v>
      </c>
      <c r="C504" t="n">
        <v>51612</v>
      </c>
      <c r="D504" t="n">
        <v>1</v>
      </c>
      <c r="E504">
        <f>HYPERLINK("file:///C:/Users/anye forti/Desktop/2025 FALL/426 COSC/YOLO_TESTING/bbox-snapshots/frame02690_id7713.png", "frame02690_id7713.png")</f>
        <v/>
      </c>
    </row>
    <row r="505">
      <c r="A505" t="n">
        <v>2696</v>
      </c>
      <c r="B505" t="n">
        <v>7739</v>
      </c>
      <c r="C505" t="n">
        <v>52416</v>
      </c>
      <c r="D505" t="n">
        <v>1</v>
      </c>
      <c r="E505">
        <f>HYPERLINK("file:///C:/Users/anye forti/Desktop/2025 FALL/426 COSC/YOLO_TESTING/bbox-snapshots/frame02696_id7739.png", "frame02696_id7739.png")</f>
        <v/>
      </c>
    </row>
    <row r="506">
      <c r="A506" t="n">
        <v>2699</v>
      </c>
      <c r="B506" t="n">
        <v>7745</v>
      </c>
      <c r="C506" t="n">
        <v>48112</v>
      </c>
      <c r="D506" t="n">
        <v>1</v>
      </c>
      <c r="E506">
        <f>HYPERLINK("file:///C:/Users/anye forti/Desktop/2025 FALL/426 COSC/YOLO_TESTING/bbox-snapshots/frame02699_id7745.png", "frame02699_id7745.png")</f>
        <v/>
      </c>
    </row>
    <row r="507">
      <c r="A507" t="n">
        <v>2700</v>
      </c>
      <c r="B507" t="n">
        <v>7733</v>
      </c>
      <c r="C507" t="n">
        <v>41968</v>
      </c>
      <c r="D507" t="n">
        <v>1</v>
      </c>
      <c r="E507">
        <f>HYPERLINK("file:///C:/Users/anye forti/Desktop/2025 FALL/426 COSC/YOLO_TESTING/bbox-snapshots/frame02700_id7733.png", "frame02700_id7733.png")</f>
        <v/>
      </c>
    </row>
    <row r="508">
      <c r="A508" t="n">
        <v>2703</v>
      </c>
      <c r="B508" t="n">
        <v>7764</v>
      </c>
      <c r="C508" t="n">
        <v>39767</v>
      </c>
      <c r="D508" t="n">
        <v>1</v>
      </c>
      <c r="E508">
        <f>HYPERLINK("file:///C:/Users/anye forti/Desktop/2025 FALL/426 COSC/YOLO_TESTING/bbox-snapshots/frame02703_id7764.png", "frame02703_id7764.png")</f>
        <v/>
      </c>
    </row>
    <row r="509">
      <c r="A509" t="n">
        <v>2710</v>
      </c>
      <c r="B509" t="n">
        <v>7788</v>
      </c>
      <c r="C509" t="n">
        <v>35000</v>
      </c>
      <c r="D509" t="n">
        <v>1</v>
      </c>
      <c r="E509">
        <f>HYPERLINK("file:///C:/Users/anye forti/Desktop/2025 FALL/426 COSC/YOLO_TESTING/bbox-snapshots/frame02710_id7788.png", "frame02710_id7788.png")</f>
        <v/>
      </c>
    </row>
    <row r="510">
      <c r="A510" t="n">
        <v>2710</v>
      </c>
      <c r="B510" t="n">
        <v>7872</v>
      </c>
      <c r="C510" t="n">
        <v>16764</v>
      </c>
      <c r="D510" t="n">
        <v>1</v>
      </c>
      <c r="E510">
        <f>HYPERLINK("file:///C:/Users/anye forti/Desktop/2025 FALL/426 COSC/YOLO_TESTING/bbox-snapshots/frame02710_id7872.png", "frame02710_id7872.png")</f>
        <v/>
      </c>
    </row>
    <row r="511">
      <c r="A511" t="n">
        <v>2713</v>
      </c>
      <c r="B511" t="n">
        <v>7703</v>
      </c>
      <c r="C511" t="n">
        <v>52152</v>
      </c>
      <c r="D511" t="n">
        <v>1</v>
      </c>
      <c r="E511">
        <f>HYPERLINK("file:///C:/Users/anye forti/Desktop/2025 FALL/426 COSC/YOLO_TESTING/bbox-snapshots/frame02713_id7703.png", "frame02713_id7703.png")</f>
        <v/>
      </c>
    </row>
    <row r="512">
      <c r="A512" t="n">
        <v>2722</v>
      </c>
      <c r="B512" t="n">
        <v>7832</v>
      </c>
      <c r="C512" t="n">
        <v>31450</v>
      </c>
      <c r="D512" t="n">
        <v>1</v>
      </c>
      <c r="E512">
        <f>HYPERLINK("file:///C:/Users/anye forti/Desktop/2025 FALL/426 COSC/YOLO_TESTING/bbox-snapshots/frame02722_id7832.png", "frame02722_id7832.png")</f>
        <v/>
      </c>
    </row>
    <row r="513">
      <c r="A513" t="n">
        <v>2723</v>
      </c>
      <c r="B513" t="n">
        <v>7817</v>
      </c>
      <c r="C513" t="n">
        <v>33473</v>
      </c>
      <c r="D513" t="n">
        <v>1</v>
      </c>
      <c r="E513">
        <f>HYPERLINK("file:///C:/Users/anye forti/Desktop/2025 FALL/426 COSC/YOLO_TESTING/bbox-snapshots/frame02723_id7817.png", "frame02723_id7817.png")</f>
        <v/>
      </c>
    </row>
    <row r="514">
      <c r="A514" t="n">
        <v>2728</v>
      </c>
      <c r="B514" t="n">
        <v>7866</v>
      </c>
      <c r="C514" t="n">
        <v>51308</v>
      </c>
      <c r="D514" t="n">
        <v>1</v>
      </c>
      <c r="E514">
        <f>HYPERLINK("file:///C:/Users/anye forti/Desktop/2025 FALL/426 COSC/YOLO_TESTING/bbox-snapshots/frame02728_id7866.png", "frame02728_id7866.png")</f>
        <v/>
      </c>
    </row>
    <row r="515">
      <c r="A515" t="n">
        <v>2730</v>
      </c>
      <c r="B515" t="n">
        <v>7940</v>
      </c>
      <c r="C515" t="n">
        <v>56356</v>
      </c>
      <c r="D515" t="n">
        <v>1</v>
      </c>
      <c r="E515">
        <f>HYPERLINK("file:///C:/Users/anye forti/Desktop/2025 FALL/426 COSC/YOLO_TESTING/bbox-snapshots/frame02730_id7940.png", "frame02730_id7940.png")</f>
        <v/>
      </c>
    </row>
    <row r="516">
      <c r="A516" t="n">
        <v>2731</v>
      </c>
      <c r="B516" t="n">
        <v>7891</v>
      </c>
      <c r="C516" t="n">
        <v>22304</v>
      </c>
      <c r="D516" t="n">
        <v>1</v>
      </c>
      <c r="E516">
        <f>HYPERLINK("file:///C:/Users/anye forti/Desktop/2025 FALL/426 COSC/YOLO_TESTING/bbox-snapshots/frame02731_id7891.png", "frame02731_id7891.png")</f>
        <v/>
      </c>
    </row>
    <row r="517">
      <c r="A517" t="n">
        <v>2741</v>
      </c>
      <c r="B517" t="n">
        <v>7923</v>
      </c>
      <c r="C517" t="n">
        <v>53658</v>
      </c>
      <c r="D517" t="n">
        <v>1</v>
      </c>
      <c r="E517">
        <f>HYPERLINK("file:///C:/Users/anye forti/Desktop/2025 FALL/426 COSC/YOLO_TESTING/bbox-snapshots/frame02741_id7923.png", "frame02741_id7923.png")</f>
        <v/>
      </c>
    </row>
    <row r="518">
      <c r="A518" t="n">
        <v>2749</v>
      </c>
      <c r="B518" t="n">
        <v>7763</v>
      </c>
      <c r="C518" t="n">
        <v>80964</v>
      </c>
      <c r="D518" t="n">
        <v>2</v>
      </c>
      <c r="E518">
        <f>HYPERLINK("file:///C:/Users/anye forti/Desktop/2025 FALL/426 COSC/YOLO_TESTING/bbox-snapshots/frame02749_id7763.png", "frame02749_id7763.png")</f>
        <v/>
      </c>
    </row>
    <row r="519">
      <c r="A519" t="n">
        <v>2754</v>
      </c>
      <c r="B519" t="n">
        <v>7962</v>
      </c>
      <c r="C519" t="n">
        <v>69053</v>
      </c>
      <c r="D519" t="n">
        <v>2</v>
      </c>
      <c r="E519">
        <f>HYPERLINK("file:///C:/Users/anye forti/Desktop/2025 FALL/426 COSC/YOLO_TESTING/bbox-snapshots/frame02754_id7962.png", "frame02754_id7962.png")</f>
        <v/>
      </c>
    </row>
    <row r="520">
      <c r="A520" t="n">
        <v>2759</v>
      </c>
      <c r="B520" t="n">
        <v>7975</v>
      </c>
      <c r="C520" t="n">
        <v>55575</v>
      </c>
      <c r="D520" t="n">
        <v>1</v>
      </c>
      <c r="E520">
        <f>HYPERLINK("file:///C:/Users/anye forti/Desktop/2025 FALL/426 COSC/YOLO_TESTING/bbox-snapshots/frame02759_id7975.png", "frame02759_id7975.png")</f>
        <v/>
      </c>
    </row>
    <row r="521">
      <c r="A521" t="n">
        <v>2772</v>
      </c>
      <c r="B521" t="n">
        <v>7978</v>
      </c>
      <c r="C521" t="n">
        <v>31482</v>
      </c>
      <c r="D521" t="n">
        <v>1</v>
      </c>
      <c r="E521">
        <f>HYPERLINK("file:///C:/Users/anye forti/Desktop/2025 FALL/426 COSC/YOLO_TESTING/bbox-snapshots/frame02772_id7978.png", "frame02772_id7978.png")</f>
        <v/>
      </c>
    </row>
    <row r="522">
      <c r="A522" t="n">
        <v>2777</v>
      </c>
      <c r="B522" t="n">
        <v>8023</v>
      </c>
      <c r="C522" t="n">
        <v>40950</v>
      </c>
      <c r="D522" t="n">
        <v>1</v>
      </c>
      <c r="E522">
        <f>HYPERLINK("file:///C:/Users/anye forti/Desktop/2025 FALL/426 COSC/YOLO_TESTING/bbox-snapshots/frame02777_id8023.png", "frame02777_id8023.png")</f>
        <v/>
      </c>
    </row>
    <row r="523">
      <c r="A523" t="n">
        <v>2795</v>
      </c>
      <c r="B523" t="n">
        <v>8082</v>
      </c>
      <c r="C523" t="n">
        <v>45100</v>
      </c>
      <c r="D523" t="n">
        <v>1</v>
      </c>
      <c r="E523">
        <f>HYPERLINK("file:///C:/Users/anye forti/Desktop/2025 FALL/426 COSC/YOLO_TESTING/bbox-snapshots/frame02795_id8082.png", "frame02795_id8082.png")</f>
        <v/>
      </c>
    </row>
    <row r="524">
      <c r="A524" t="n">
        <v>2798</v>
      </c>
      <c r="B524" t="n">
        <v>8067</v>
      </c>
      <c r="C524" t="n">
        <v>37290</v>
      </c>
      <c r="D524" t="n">
        <v>1</v>
      </c>
      <c r="E524">
        <f>HYPERLINK("file:///C:/Users/anye forti/Desktop/2025 FALL/426 COSC/YOLO_TESTING/bbox-snapshots/frame02798_id8067.png", "frame02798_id8067.png")</f>
        <v/>
      </c>
    </row>
    <row r="525">
      <c r="A525" t="n">
        <v>2798</v>
      </c>
      <c r="B525" t="n">
        <v>8089</v>
      </c>
      <c r="C525" t="n">
        <v>39494</v>
      </c>
      <c r="D525" t="n">
        <v>1</v>
      </c>
      <c r="E525">
        <f>HYPERLINK("file:///C:/Users/anye forti/Desktop/2025 FALL/426 COSC/YOLO_TESTING/bbox-snapshots/frame02798_id8089.png", "frame02798_id8089.png")</f>
        <v/>
      </c>
    </row>
    <row r="526">
      <c r="A526" t="n">
        <v>2806</v>
      </c>
      <c r="B526" t="n">
        <v>8107</v>
      </c>
      <c r="C526" t="n">
        <v>34028</v>
      </c>
      <c r="D526" t="n">
        <v>1</v>
      </c>
      <c r="E526">
        <f>HYPERLINK("file:///C:/Users/anye forti/Desktop/2025 FALL/426 COSC/YOLO_TESTING/bbox-snapshots/frame02806_id8107.png", "frame02806_id8107.png")</f>
        <v/>
      </c>
    </row>
    <row r="527">
      <c r="A527" t="n">
        <v>2807</v>
      </c>
      <c r="B527" t="n">
        <v>8124</v>
      </c>
      <c r="C527" t="n">
        <v>45310</v>
      </c>
      <c r="D527" t="n">
        <v>1</v>
      </c>
      <c r="E527">
        <f>HYPERLINK("file:///C:/Users/anye forti/Desktop/2025 FALL/426 COSC/YOLO_TESTING/bbox-snapshots/frame02807_id8124.png", "frame02807_id8124.png")</f>
        <v/>
      </c>
    </row>
    <row r="528">
      <c r="A528" t="n">
        <v>2811</v>
      </c>
      <c r="B528" t="n">
        <v>8117</v>
      </c>
      <c r="C528" t="n">
        <v>45954</v>
      </c>
      <c r="D528" t="n">
        <v>1</v>
      </c>
      <c r="E528">
        <f>HYPERLINK("file:///C:/Users/anye forti/Desktop/2025 FALL/426 COSC/YOLO_TESTING/bbox-snapshots/frame02811_id8117.png", "frame02811_id8117.png")</f>
        <v/>
      </c>
    </row>
    <row r="529">
      <c r="A529" t="n">
        <v>2813</v>
      </c>
      <c r="B529" t="n">
        <v>8137</v>
      </c>
      <c r="C529" t="n">
        <v>37914</v>
      </c>
      <c r="D529" t="n">
        <v>1</v>
      </c>
      <c r="E529">
        <f>HYPERLINK("file:///C:/Users/anye forti/Desktop/2025 FALL/426 COSC/YOLO_TESTING/bbox-snapshots/frame02813_id8137.png", "frame02813_id8137.png")</f>
        <v/>
      </c>
    </row>
    <row r="530">
      <c r="A530" t="n">
        <v>2824</v>
      </c>
      <c r="B530" t="n">
        <v>8142</v>
      </c>
      <c r="C530" t="n">
        <v>47124</v>
      </c>
      <c r="D530" t="n">
        <v>1</v>
      </c>
      <c r="E530">
        <f>HYPERLINK("file:///C:/Users/anye forti/Desktop/2025 FALL/426 COSC/YOLO_TESTING/bbox-snapshots/frame02824_id8142.png", "frame02824_id8142.png")</f>
        <v/>
      </c>
    </row>
    <row r="531">
      <c r="A531" t="n">
        <v>2829</v>
      </c>
      <c r="B531" t="n">
        <v>8158</v>
      </c>
      <c r="C531" t="n">
        <v>44631</v>
      </c>
      <c r="D531" t="n">
        <v>1</v>
      </c>
      <c r="E531">
        <f>HYPERLINK("file:///C:/Users/anye forti/Desktop/2025 FALL/426 COSC/YOLO_TESTING/bbox-snapshots/frame02829_id8158.png", "frame02829_id8158.png")</f>
        <v/>
      </c>
    </row>
    <row r="532">
      <c r="A532" t="n">
        <v>2831</v>
      </c>
      <c r="B532" t="n">
        <v>8175</v>
      </c>
      <c r="C532" t="n">
        <v>63997</v>
      </c>
      <c r="D532" t="n">
        <v>2</v>
      </c>
      <c r="E532">
        <f>HYPERLINK("file:///C:/Users/anye forti/Desktop/2025 FALL/426 COSC/YOLO_TESTING/bbox-snapshots/frame02831_id8175.png", "frame02831_id8175.png")</f>
        <v/>
      </c>
    </row>
    <row r="533">
      <c r="A533" t="n">
        <v>2835</v>
      </c>
      <c r="B533" t="n">
        <v>8196</v>
      </c>
      <c r="C533" t="n">
        <v>38773</v>
      </c>
      <c r="D533" t="n">
        <v>1</v>
      </c>
      <c r="E533">
        <f>HYPERLINK("file:///C:/Users/anye forti/Desktop/2025 FALL/426 COSC/YOLO_TESTING/bbox-snapshots/frame02835_id8196.png", "frame02835_id8196.png")</f>
        <v/>
      </c>
    </row>
    <row r="534">
      <c r="A534" t="n">
        <v>2835</v>
      </c>
      <c r="B534" t="n">
        <v>8281</v>
      </c>
      <c r="C534" t="n">
        <v>40600</v>
      </c>
      <c r="D534" t="n">
        <v>1</v>
      </c>
      <c r="E534">
        <f>HYPERLINK("file:///C:/Users/anye forti/Desktop/2025 FALL/426 COSC/YOLO_TESTING/bbox-snapshots/frame02835_id8281.png", "frame02835_id8281.png")</f>
        <v/>
      </c>
    </row>
    <row r="535">
      <c r="A535" t="n">
        <v>2842</v>
      </c>
      <c r="B535" t="n">
        <v>8136</v>
      </c>
      <c r="C535" t="n">
        <v>78676</v>
      </c>
      <c r="D535" t="n">
        <v>2</v>
      </c>
      <c r="E535">
        <f>HYPERLINK("file:///C:/Users/anye forti/Desktop/2025 FALL/426 COSC/YOLO_TESTING/bbox-snapshots/frame02842_id8136.png", "frame02842_id8136.png")</f>
        <v/>
      </c>
    </row>
    <row r="536">
      <c r="A536" t="n">
        <v>2843</v>
      </c>
      <c r="B536" t="n">
        <v>8299</v>
      </c>
      <c r="C536" t="n">
        <v>21375</v>
      </c>
      <c r="D536" t="n">
        <v>1</v>
      </c>
      <c r="E536">
        <f>HYPERLINK("file:///C:/Users/anye forti/Desktop/2025 FALL/426 COSC/YOLO_TESTING/bbox-snapshots/frame02843_id8299.png", "frame02843_id8299.png")</f>
        <v/>
      </c>
    </row>
    <row r="537">
      <c r="A537" t="n">
        <v>2846</v>
      </c>
      <c r="B537" t="n">
        <v>8291</v>
      </c>
      <c r="C537" t="n">
        <v>38133</v>
      </c>
      <c r="D537" t="n">
        <v>1</v>
      </c>
      <c r="E537">
        <f>HYPERLINK("file:///C:/Users/anye forti/Desktop/2025 FALL/426 COSC/YOLO_TESTING/bbox-snapshots/frame02846_id8291.png", "frame02846_id8291.png")</f>
        <v/>
      </c>
    </row>
    <row r="538">
      <c r="A538" t="n">
        <v>2847</v>
      </c>
      <c r="B538" t="n">
        <v>8237</v>
      </c>
      <c r="C538" t="n">
        <v>28798</v>
      </c>
      <c r="D538" t="n">
        <v>1</v>
      </c>
      <c r="E538">
        <f>HYPERLINK("file:///C:/Users/anye forti/Desktop/2025 FALL/426 COSC/YOLO_TESTING/bbox-snapshots/frame02847_id8237.png", "frame02847_id8237.png")</f>
        <v/>
      </c>
    </row>
    <row r="539">
      <c r="A539" t="n">
        <v>2849</v>
      </c>
      <c r="B539" t="n">
        <v>8261</v>
      </c>
      <c r="C539" t="n">
        <v>37030</v>
      </c>
      <c r="D539" t="n">
        <v>1</v>
      </c>
      <c r="E539">
        <f>HYPERLINK("file:///C:/Users/anye forti/Desktop/2025 FALL/426 COSC/YOLO_TESTING/bbox-snapshots/frame02849_id8261.png", "frame02849_id8261.png")</f>
        <v/>
      </c>
    </row>
    <row r="540">
      <c r="A540" t="n">
        <v>2854</v>
      </c>
      <c r="B540" t="n">
        <v>8272</v>
      </c>
      <c r="C540" t="n">
        <v>52796</v>
      </c>
      <c r="D540" t="n">
        <v>1</v>
      </c>
      <c r="E540">
        <f>HYPERLINK("file:///C:/Users/anye forti/Desktop/2025 FALL/426 COSC/YOLO_TESTING/bbox-snapshots/frame02854_id8272.png", "frame02854_id8272.png")</f>
        <v/>
      </c>
    </row>
    <row r="541">
      <c r="A541" t="n">
        <v>2858</v>
      </c>
      <c r="B541" t="n">
        <v>8287</v>
      </c>
      <c r="C541" t="n">
        <v>38613</v>
      </c>
      <c r="D541" t="n">
        <v>1</v>
      </c>
      <c r="E541">
        <f>HYPERLINK("file:///C:/Users/anye forti/Desktop/2025 FALL/426 COSC/YOLO_TESTING/bbox-snapshots/frame02858_id8287.png", "frame02858_id8287.png")</f>
        <v/>
      </c>
    </row>
    <row r="542">
      <c r="A542" t="n">
        <v>2861</v>
      </c>
      <c r="B542" t="n">
        <v>8298</v>
      </c>
      <c r="C542" t="n">
        <v>54570</v>
      </c>
      <c r="D542" t="n">
        <v>1</v>
      </c>
      <c r="E542">
        <f>HYPERLINK("file:///C:/Users/anye forti/Desktop/2025 FALL/426 COSC/YOLO_TESTING/bbox-snapshots/frame02861_id8298.png", "frame02861_id8298.png")</f>
        <v/>
      </c>
    </row>
    <row r="543">
      <c r="A543" t="n">
        <v>2873</v>
      </c>
      <c r="B543" t="n">
        <v>8353</v>
      </c>
      <c r="C543" t="n">
        <v>31324</v>
      </c>
      <c r="D543" t="n">
        <v>1</v>
      </c>
      <c r="E543">
        <f>HYPERLINK("file:///C:/Users/anye forti/Desktop/2025 FALL/426 COSC/YOLO_TESTING/bbox-snapshots/frame02873_id8353.png", "frame02873_id8353.png")</f>
        <v/>
      </c>
    </row>
    <row r="544">
      <c r="A544" t="n">
        <v>2875</v>
      </c>
      <c r="B544" t="n">
        <v>8329</v>
      </c>
      <c r="C544" t="n">
        <v>42406</v>
      </c>
      <c r="D544" t="n">
        <v>1</v>
      </c>
      <c r="E544">
        <f>HYPERLINK("file:///C:/Users/anye forti/Desktop/2025 FALL/426 COSC/YOLO_TESTING/bbox-snapshots/frame02875_id8329.png", "frame02875_id8329.png")</f>
        <v/>
      </c>
    </row>
    <row r="545">
      <c r="A545" t="n">
        <v>2887</v>
      </c>
      <c r="B545" t="n">
        <v>8393</v>
      </c>
      <c r="C545" t="n">
        <v>47232</v>
      </c>
      <c r="D545" t="n">
        <v>1</v>
      </c>
      <c r="E545">
        <f>HYPERLINK("file:///C:/Users/anye forti/Desktop/2025 FALL/426 COSC/YOLO_TESTING/bbox-snapshots/frame02887_id8393.png", "frame02887_id8393.png")</f>
        <v/>
      </c>
    </row>
    <row r="546">
      <c r="A546" t="n">
        <v>2889</v>
      </c>
      <c r="B546" t="n">
        <v>8402</v>
      </c>
      <c r="C546" t="n">
        <v>36852</v>
      </c>
      <c r="D546" t="n">
        <v>1</v>
      </c>
      <c r="E546">
        <f>HYPERLINK("file:///C:/Users/anye forti/Desktop/2025 FALL/426 COSC/YOLO_TESTING/bbox-snapshots/frame02889_id8402.png", "frame02889_id8402.png")</f>
        <v/>
      </c>
    </row>
    <row r="547">
      <c r="A547" t="n">
        <v>2889</v>
      </c>
      <c r="B547" t="n">
        <v>8422</v>
      </c>
      <c r="C547" t="n">
        <v>48000</v>
      </c>
      <c r="D547" t="n">
        <v>1</v>
      </c>
      <c r="E547">
        <f>HYPERLINK("file:///C:/Users/anye forti/Desktop/2025 FALL/426 COSC/YOLO_TESTING/bbox-snapshots/frame02889_id8422.png", "frame02889_id8422.png")</f>
        <v/>
      </c>
    </row>
    <row r="548">
      <c r="A548" t="n">
        <v>2890</v>
      </c>
      <c r="B548" t="n">
        <v>8428</v>
      </c>
      <c r="C548" t="n">
        <v>47950</v>
      </c>
      <c r="D548" t="n">
        <v>1</v>
      </c>
      <c r="E548">
        <f>HYPERLINK("file:///C:/Users/anye forti/Desktop/2025 FALL/426 COSC/YOLO_TESTING/bbox-snapshots/frame02890_id8428.png", "frame02890_id8428.png")</f>
        <v/>
      </c>
    </row>
    <row r="549">
      <c r="A549" t="n">
        <v>2896</v>
      </c>
      <c r="B549" t="n">
        <v>8448</v>
      </c>
      <c r="C549" t="n">
        <v>30394</v>
      </c>
      <c r="D549" t="n">
        <v>1</v>
      </c>
      <c r="E549">
        <f>HYPERLINK("file:///C:/Users/anye forti/Desktop/2025 FALL/426 COSC/YOLO_TESTING/bbox-snapshots/frame02896_id8448.png", "frame02896_id8448.png")</f>
        <v/>
      </c>
    </row>
    <row r="550">
      <c r="A550" t="n">
        <v>2896</v>
      </c>
      <c r="B550" t="n">
        <v>8438</v>
      </c>
      <c r="C550" t="n">
        <v>32448</v>
      </c>
      <c r="D550" t="n">
        <v>1</v>
      </c>
      <c r="E550">
        <f>HYPERLINK("file:///C:/Users/anye forti/Desktop/2025 FALL/426 COSC/YOLO_TESTING/bbox-snapshots/frame02896_id8438.png", "frame02896_id8438.png")</f>
        <v/>
      </c>
    </row>
    <row r="551">
      <c r="A551" t="n">
        <v>2903</v>
      </c>
      <c r="B551" t="n">
        <v>8380</v>
      </c>
      <c r="C551" t="n">
        <v>55968</v>
      </c>
      <c r="D551" t="n">
        <v>1</v>
      </c>
      <c r="E551">
        <f>HYPERLINK("file:///C:/Users/anye forti/Desktop/2025 FALL/426 COSC/YOLO_TESTING/bbox-snapshots/frame02903_id8380.png", "frame02903_id8380.png")</f>
        <v/>
      </c>
    </row>
    <row r="552">
      <c r="A552" t="n">
        <v>2906</v>
      </c>
      <c r="B552" t="n">
        <v>8483</v>
      </c>
      <c r="C552" t="n">
        <v>36278</v>
      </c>
      <c r="D552" t="n">
        <v>1</v>
      </c>
      <c r="E552">
        <f>HYPERLINK("file:///C:/Users/anye forti/Desktop/2025 FALL/426 COSC/YOLO_TESTING/bbox-snapshots/frame02906_id8483.png", "frame02906_id8483.png")</f>
        <v/>
      </c>
    </row>
    <row r="553">
      <c r="A553" t="n">
        <v>2907</v>
      </c>
      <c r="B553" t="n">
        <v>8490</v>
      </c>
      <c r="C553" t="n">
        <v>49987</v>
      </c>
      <c r="D553" t="n">
        <v>1</v>
      </c>
      <c r="E553">
        <f>HYPERLINK("file:///C:/Users/anye forti/Desktop/2025 FALL/426 COSC/YOLO_TESTING/bbox-snapshots/frame02907_id8490.png", "frame02907_id8490.png")</f>
        <v/>
      </c>
    </row>
    <row r="554">
      <c r="A554" t="n">
        <v>2915</v>
      </c>
      <c r="B554" t="n">
        <v>8497</v>
      </c>
      <c r="C554" t="n">
        <v>52662</v>
      </c>
      <c r="D554" t="n">
        <v>1</v>
      </c>
      <c r="E554">
        <f>HYPERLINK("file:///C:/Users/anye forti/Desktop/2025 FALL/426 COSC/YOLO_TESTING/bbox-snapshots/frame02915_id8497.png", "frame02915_id8497.png")</f>
        <v/>
      </c>
    </row>
    <row r="555">
      <c r="A555" t="n">
        <v>2915</v>
      </c>
      <c r="B555" t="n">
        <v>8406</v>
      </c>
      <c r="C555" t="n">
        <v>46189</v>
      </c>
      <c r="D555" t="n">
        <v>1</v>
      </c>
      <c r="E555">
        <f>HYPERLINK("file:///C:/Users/anye forti/Desktop/2025 FALL/426 COSC/YOLO_TESTING/bbox-snapshots/frame02915_id8406.png", "frame02915_id8406.png")</f>
        <v/>
      </c>
    </row>
    <row r="556">
      <c r="A556" t="n">
        <v>2917</v>
      </c>
      <c r="B556" t="n">
        <v>8567</v>
      </c>
      <c r="C556" t="n">
        <v>23552</v>
      </c>
      <c r="D556" t="n">
        <v>1</v>
      </c>
      <c r="E556">
        <f>HYPERLINK("file:///C:/Users/anye forti/Desktop/2025 FALL/426 COSC/YOLO_TESTING/bbox-snapshots/frame02917_id8567.png", "frame02917_id8567.png")</f>
        <v/>
      </c>
    </row>
    <row r="557">
      <c r="A557" t="n">
        <v>2925</v>
      </c>
      <c r="B557" t="n">
        <v>8563</v>
      </c>
      <c r="C557" t="n">
        <v>36099</v>
      </c>
      <c r="D557" t="n">
        <v>1</v>
      </c>
      <c r="E557">
        <f>HYPERLINK("file:///C:/Users/anye forti/Desktop/2025 FALL/426 COSC/YOLO_TESTING/bbox-snapshots/frame02925_id8563.png", "frame02925_id8563.png")</f>
        <v/>
      </c>
    </row>
    <row r="558">
      <c r="A558" t="n">
        <v>2931</v>
      </c>
      <c r="B558" t="n">
        <v>8552</v>
      </c>
      <c r="C558" t="n">
        <v>44814</v>
      </c>
      <c r="D558" t="n">
        <v>1</v>
      </c>
      <c r="E558">
        <f>HYPERLINK("file:///C:/Users/anye forti/Desktop/2025 FALL/426 COSC/YOLO_TESTING/bbox-snapshots/frame02931_id8552.png", "frame02931_id8552.png")</f>
        <v/>
      </c>
    </row>
    <row r="559">
      <c r="A559" t="n">
        <v>2932</v>
      </c>
      <c r="B559" t="n">
        <v>8574</v>
      </c>
      <c r="C559" t="n">
        <v>33221</v>
      </c>
      <c r="D559" t="n">
        <v>1</v>
      </c>
      <c r="E559">
        <f>HYPERLINK("file:///C:/Users/anye forti/Desktop/2025 FALL/426 COSC/YOLO_TESTING/bbox-snapshots/frame02932_id8574.png", "frame02932_id8574.png")</f>
        <v/>
      </c>
    </row>
    <row r="560">
      <c r="A560" t="n">
        <v>2932</v>
      </c>
      <c r="B560" t="n">
        <v>8560</v>
      </c>
      <c r="C560" t="n">
        <v>27470</v>
      </c>
      <c r="D560" t="n">
        <v>1</v>
      </c>
      <c r="E560">
        <f>HYPERLINK("file:///C:/Users/anye forti/Desktop/2025 FALL/426 COSC/YOLO_TESTING/bbox-snapshots/frame02932_id8560.png", "frame02932_id8560.png")</f>
        <v/>
      </c>
    </row>
    <row r="561">
      <c r="A561" t="n">
        <v>2935</v>
      </c>
      <c r="B561" t="n">
        <v>8593</v>
      </c>
      <c r="C561" t="n">
        <v>31603</v>
      </c>
      <c r="D561" t="n">
        <v>1</v>
      </c>
      <c r="E561">
        <f>HYPERLINK("file:///C:/Users/anye forti/Desktop/2025 FALL/426 COSC/YOLO_TESTING/bbox-snapshots/frame02935_id8593.png", "frame02935_id8593.png")</f>
        <v/>
      </c>
    </row>
    <row r="562">
      <c r="A562" t="n">
        <v>2948</v>
      </c>
      <c r="B562" t="n">
        <v>8641</v>
      </c>
      <c r="C562" t="n">
        <v>71136</v>
      </c>
      <c r="D562" t="n">
        <v>2</v>
      </c>
      <c r="E562">
        <f>HYPERLINK("file:///C:/Users/anye forti/Desktop/2025 FALL/426 COSC/YOLO_TESTING/bbox-snapshots/frame02948_id8641.png", "frame02948_id8641.png")</f>
        <v/>
      </c>
    </row>
    <row r="563">
      <c r="A563" t="n">
        <v>2952</v>
      </c>
      <c r="B563" t="n">
        <v>8651</v>
      </c>
      <c r="C563" t="n">
        <v>35854</v>
      </c>
      <c r="D563" t="n">
        <v>1</v>
      </c>
      <c r="E563">
        <f>HYPERLINK("file:///C:/Users/anye forti/Desktop/2025 FALL/426 COSC/YOLO_TESTING/bbox-snapshots/frame02952_id8651.png", "frame02952_id8651.png")</f>
        <v/>
      </c>
    </row>
    <row r="564">
      <c r="A564" t="n">
        <v>2961</v>
      </c>
      <c r="B564" t="n">
        <v>8655</v>
      </c>
      <c r="C564" t="n">
        <v>46640</v>
      </c>
      <c r="D564" t="n">
        <v>1</v>
      </c>
      <c r="E564">
        <f>HYPERLINK("file:///C:/Users/anye forti/Desktop/2025 FALL/426 COSC/YOLO_TESTING/bbox-snapshots/frame02961_id8655.png", "frame02961_id8655.png")</f>
        <v/>
      </c>
    </row>
    <row r="565">
      <c r="A565" t="n">
        <v>2968</v>
      </c>
      <c r="B565" t="n">
        <v>8673</v>
      </c>
      <c r="C565" t="n">
        <v>52074</v>
      </c>
      <c r="D565" t="n">
        <v>1</v>
      </c>
      <c r="E565">
        <f>HYPERLINK("file:///C:/Users/anye forti/Desktop/2025 FALL/426 COSC/YOLO_TESTING/bbox-snapshots/frame02968_id8673.png", "frame02968_id8673.png")</f>
        <v/>
      </c>
    </row>
    <row r="566">
      <c r="A566" t="n">
        <v>2982</v>
      </c>
      <c r="B566" t="n">
        <v>8675</v>
      </c>
      <c r="C566" t="n">
        <v>59455</v>
      </c>
      <c r="D566" t="n">
        <v>1</v>
      </c>
      <c r="E566">
        <f>HYPERLINK("file:///C:/Users/anye forti/Desktop/2025 FALL/426 COSC/YOLO_TESTING/bbox-snapshots/frame02982_id8675.png", "frame02982_id8675.png")</f>
        <v/>
      </c>
    </row>
    <row r="567">
      <c r="A567" t="n">
        <v>2990</v>
      </c>
      <c r="B567" t="n">
        <v>8725</v>
      </c>
      <c r="C567" t="n">
        <v>36018</v>
      </c>
      <c r="D567" t="n">
        <v>1</v>
      </c>
      <c r="E567">
        <f>HYPERLINK("file:///C:/Users/anye forti/Desktop/2025 FALL/426 COSC/YOLO_TESTING/bbox-snapshots/frame02990_id8725.png", "frame02990_id8725.png")</f>
        <v/>
      </c>
    </row>
    <row r="568">
      <c r="A568" t="n">
        <v>2994</v>
      </c>
      <c r="B568" t="n">
        <v>8737</v>
      </c>
      <c r="C568" t="n">
        <v>37026</v>
      </c>
      <c r="D568" t="n">
        <v>1</v>
      </c>
      <c r="E568">
        <f>HYPERLINK("file:///C:/Users/anye forti/Desktop/2025 FALL/426 COSC/YOLO_TESTING/bbox-snapshots/frame02994_id8737.png", "frame02994_id8737.png")</f>
        <v/>
      </c>
    </row>
    <row r="569">
      <c r="A569" t="n">
        <v>3000</v>
      </c>
      <c r="B569" t="n">
        <v>8742</v>
      </c>
      <c r="C569" t="n">
        <v>35604</v>
      </c>
      <c r="D569" t="n">
        <v>1</v>
      </c>
      <c r="E569">
        <f>HYPERLINK("file:///C:/Users/anye forti/Desktop/2025 FALL/426 COSC/YOLO_TESTING/bbox-snapshots/frame03000_id8742.png", "frame03000_id8742.png")</f>
        <v/>
      </c>
    </row>
    <row r="570">
      <c r="A570" t="n">
        <v>3001</v>
      </c>
      <c r="B570" t="n">
        <v>8774</v>
      </c>
      <c r="C570" t="n">
        <v>28560</v>
      </c>
      <c r="D570" t="n">
        <v>1</v>
      </c>
      <c r="E570">
        <f>HYPERLINK("file:///C:/Users/anye forti/Desktop/2025 FALL/426 COSC/YOLO_TESTING/bbox-snapshots/frame03001_id8774.png", "frame03001_id8774.png")</f>
        <v/>
      </c>
    </row>
    <row r="571">
      <c r="A571" t="n">
        <v>3002</v>
      </c>
      <c r="B571" t="n">
        <v>8804</v>
      </c>
      <c r="C571" t="n">
        <v>27048</v>
      </c>
      <c r="D571" t="n">
        <v>1</v>
      </c>
      <c r="E571">
        <f>HYPERLINK("file:///C:/Users/anye forti/Desktop/2025 FALL/426 COSC/YOLO_TESTING/bbox-snapshots/frame03002_id8804.png", "frame03002_id8804.png")</f>
        <v/>
      </c>
    </row>
    <row r="572">
      <c r="A572" t="n">
        <v>3007</v>
      </c>
      <c r="B572" t="n">
        <v>8790</v>
      </c>
      <c r="C572" t="n">
        <v>35568</v>
      </c>
      <c r="D572" t="n">
        <v>1</v>
      </c>
      <c r="E572">
        <f>HYPERLINK("file:///C:/Users/anye forti/Desktop/2025 FALL/426 COSC/YOLO_TESTING/bbox-snapshots/frame03007_id8790.png", "frame03007_id8790.png")</f>
        <v/>
      </c>
    </row>
    <row r="573">
      <c r="A573" t="n">
        <v>3007</v>
      </c>
      <c r="B573" t="n">
        <v>8797</v>
      </c>
      <c r="C573" t="n">
        <v>34368</v>
      </c>
      <c r="D573" t="n">
        <v>1</v>
      </c>
      <c r="E573">
        <f>HYPERLINK("file:///C:/Users/anye forti/Desktop/2025 FALL/426 COSC/YOLO_TESTING/bbox-snapshots/frame03007_id8797.png", "frame03007_id8797.png")</f>
        <v/>
      </c>
    </row>
    <row r="574">
      <c r="A574" t="n">
        <v>3015</v>
      </c>
      <c r="B574" t="n">
        <v>8835</v>
      </c>
      <c r="C574" t="n">
        <v>80354</v>
      </c>
      <c r="D574" t="n">
        <v>2</v>
      </c>
      <c r="E574">
        <f>HYPERLINK("file:///C:/Users/anye forti/Desktop/2025 FALL/426 COSC/YOLO_TESTING/bbox-snapshots/frame03015_id8835.png", "frame03015_id8835.png")</f>
        <v/>
      </c>
    </row>
    <row r="575">
      <c r="A575" t="n">
        <v>3019</v>
      </c>
      <c r="B575" t="n">
        <v>8882</v>
      </c>
      <c r="C575" t="n">
        <v>44676</v>
      </c>
      <c r="D575" t="n">
        <v>1</v>
      </c>
      <c r="E575">
        <f>HYPERLINK("file:///C:/Users/anye forti/Desktop/2025 FALL/426 COSC/YOLO_TESTING/bbox-snapshots/frame03019_id8882.png", "frame03019_id8882.png")</f>
        <v/>
      </c>
    </row>
    <row r="576">
      <c r="A576" t="n">
        <v>3024</v>
      </c>
      <c r="B576" t="n">
        <v>8877</v>
      </c>
      <c r="C576" t="n">
        <v>46436</v>
      </c>
      <c r="D576" t="n">
        <v>1</v>
      </c>
      <c r="E576">
        <f>HYPERLINK("file:///C:/Users/anye forti/Desktop/2025 FALL/426 COSC/YOLO_TESTING/bbox-snapshots/frame03024_id8877.png", "frame03024_id8877.png")</f>
        <v/>
      </c>
    </row>
    <row r="577">
      <c r="A577" t="n">
        <v>3025</v>
      </c>
      <c r="B577" t="n">
        <v>8869</v>
      </c>
      <c r="C577" t="n">
        <v>30492</v>
      </c>
      <c r="D577" t="n">
        <v>1</v>
      </c>
      <c r="E577">
        <f>HYPERLINK("file:///C:/Users/anye forti/Desktop/2025 FALL/426 COSC/YOLO_TESTING/bbox-snapshots/frame03025_id8869.png", "frame03025_id8869.png")</f>
        <v/>
      </c>
    </row>
    <row r="578">
      <c r="A578" t="n">
        <v>3027</v>
      </c>
      <c r="B578" t="n">
        <v>8991</v>
      </c>
      <c r="C578" t="n">
        <v>13392</v>
      </c>
      <c r="D578" t="n">
        <v>1</v>
      </c>
      <c r="E578">
        <f>HYPERLINK("file:///C:/Users/anye forti/Desktop/2025 FALL/426 COSC/YOLO_TESTING/bbox-snapshots/frame03027_id8991.png", "frame03027_id8991.png")</f>
        <v/>
      </c>
    </row>
    <row r="579">
      <c r="A579" t="n">
        <v>3030</v>
      </c>
      <c r="B579" t="n">
        <v>9013</v>
      </c>
      <c r="C579" t="n">
        <v>23232</v>
      </c>
      <c r="D579" t="n">
        <v>1</v>
      </c>
      <c r="E579">
        <f>HYPERLINK("file:///C:/Users/anye forti/Desktop/2025 FALL/426 COSC/YOLO_TESTING/bbox-snapshots/frame03030_id9013.png", "frame03030_id9013.png")</f>
        <v/>
      </c>
    </row>
    <row r="580">
      <c r="A580" t="n">
        <v>3035</v>
      </c>
      <c r="B580" t="n">
        <v>8943</v>
      </c>
      <c r="C580" t="n">
        <v>54264</v>
      </c>
      <c r="D580" t="n">
        <v>1</v>
      </c>
      <c r="E580">
        <f>HYPERLINK("file:///C:/Users/anye forti/Desktop/2025 FALL/426 COSC/YOLO_TESTING/bbox-snapshots/frame03035_id8943.png", "frame03035_id8943.png")</f>
        <v/>
      </c>
    </row>
    <row r="581">
      <c r="A581" t="n">
        <v>3050</v>
      </c>
      <c r="B581" t="n">
        <v>8898</v>
      </c>
      <c r="C581" t="n">
        <v>55803</v>
      </c>
      <c r="D581" t="n">
        <v>1</v>
      </c>
      <c r="E581">
        <f>HYPERLINK("file:///C:/Users/anye forti/Desktop/2025 FALL/426 COSC/YOLO_TESTING/bbox-snapshots/frame03050_id8898.png", "frame03050_id8898.png")</f>
        <v/>
      </c>
    </row>
    <row r="582">
      <c r="A582" t="n">
        <v>3056</v>
      </c>
      <c r="B582" t="n">
        <v>9047</v>
      </c>
      <c r="C582" t="n">
        <v>44750</v>
      </c>
      <c r="D582" t="n">
        <v>1</v>
      </c>
      <c r="E582">
        <f>HYPERLINK("file:///C:/Users/anye forti/Desktop/2025 FALL/426 COSC/YOLO_TESTING/bbox-snapshots/frame03056_id9047.png", "frame03056_id9047.png")</f>
        <v/>
      </c>
    </row>
    <row r="583">
      <c r="A583" t="n">
        <v>3062</v>
      </c>
      <c r="B583" t="n">
        <v>9074</v>
      </c>
      <c r="C583" t="n">
        <v>60096</v>
      </c>
      <c r="D583" t="n">
        <v>2</v>
      </c>
      <c r="E583">
        <f>HYPERLINK("file:///C:/Users/anye forti/Desktop/2025 FALL/426 COSC/YOLO_TESTING/bbox-snapshots/frame03062_id9074.png", "frame03062_id9074.png")</f>
        <v/>
      </c>
    </row>
    <row r="584">
      <c r="A584" t="n">
        <v>3063</v>
      </c>
      <c r="B584" t="n">
        <v>9092</v>
      </c>
      <c r="C584" t="n">
        <v>19320</v>
      </c>
      <c r="D584" t="n">
        <v>1</v>
      </c>
      <c r="E584">
        <f>HYPERLINK("file:///C:/Users/anye forti/Desktop/2025 FALL/426 COSC/YOLO_TESTING/bbox-snapshots/frame03063_id9092.png", "frame03063_id9092.png")</f>
        <v/>
      </c>
    </row>
    <row r="585">
      <c r="A585" t="n">
        <v>3076</v>
      </c>
      <c r="B585" t="n">
        <v>9108</v>
      </c>
      <c r="C585" t="n">
        <v>37352</v>
      </c>
      <c r="D585" t="n">
        <v>1</v>
      </c>
      <c r="E585">
        <f>HYPERLINK("file:///C:/Users/anye forti/Desktop/2025 FALL/426 COSC/YOLO_TESTING/bbox-snapshots/frame03076_id9108.png", "frame03076_id9108.png")</f>
        <v/>
      </c>
    </row>
    <row r="586">
      <c r="A586" t="n">
        <v>3085</v>
      </c>
      <c r="B586" t="n">
        <v>9125</v>
      </c>
      <c r="C586" t="n">
        <v>49887</v>
      </c>
      <c r="D586" t="n">
        <v>1</v>
      </c>
      <c r="E586">
        <f>HYPERLINK("file:///C:/Users/anye forti/Desktop/2025 FALL/426 COSC/YOLO_TESTING/bbox-snapshots/frame03085_id9125.png", "frame03085_id9125.png")</f>
        <v/>
      </c>
    </row>
    <row r="587">
      <c r="A587" t="n">
        <v>3088</v>
      </c>
      <c r="B587" t="n">
        <v>9168</v>
      </c>
      <c r="C587" t="n">
        <v>15260</v>
      </c>
      <c r="D587" t="n">
        <v>1</v>
      </c>
      <c r="E587">
        <f>HYPERLINK("file:///C:/Users/anye forti/Desktop/2025 FALL/426 COSC/YOLO_TESTING/bbox-snapshots/frame03088_id9168.png", "frame03088_id9168.png")</f>
        <v/>
      </c>
    </row>
    <row r="588">
      <c r="A588" t="n">
        <v>3093</v>
      </c>
      <c r="B588" t="n">
        <v>9131</v>
      </c>
      <c r="C588" t="n">
        <v>43578</v>
      </c>
      <c r="D588" t="n">
        <v>1</v>
      </c>
      <c r="E588">
        <f>HYPERLINK("file:///C:/Users/anye forti/Desktop/2025 FALL/426 COSC/YOLO_TESTING/bbox-snapshots/frame03093_id9131.png", "frame03093_id9131.png")</f>
        <v/>
      </c>
    </row>
    <row r="589">
      <c r="A589" t="n">
        <v>3101</v>
      </c>
      <c r="B589" t="n">
        <v>9159</v>
      </c>
      <c r="C589" t="n">
        <v>49051</v>
      </c>
      <c r="D589" t="n">
        <v>1</v>
      </c>
      <c r="E589">
        <f>HYPERLINK("file:///C:/Users/anye forti/Desktop/2025 FALL/426 COSC/YOLO_TESTING/bbox-snapshots/frame03101_id9159.png", "frame03101_id9159.png")</f>
        <v/>
      </c>
    </row>
    <row r="590">
      <c r="A590" t="n">
        <v>3103</v>
      </c>
      <c r="B590" t="n">
        <v>9161</v>
      </c>
      <c r="C590" t="n">
        <v>49181</v>
      </c>
      <c r="D590" t="n">
        <v>1</v>
      </c>
      <c r="E590">
        <f>HYPERLINK("file:///C:/Users/anye forti/Desktop/2025 FALL/426 COSC/YOLO_TESTING/bbox-snapshots/frame03103_id9161.png", "frame03103_id9161.png")</f>
        <v/>
      </c>
    </row>
    <row r="591">
      <c r="A591" t="n">
        <v>3107</v>
      </c>
      <c r="B591" t="n">
        <v>9172</v>
      </c>
      <c r="C591" t="n">
        <v>32398</v>
      </c>
      <c r="D591" t="n">
        <v>1</v>
      </c>
      <c r="E591">
        <f>HYPERLINK("file:///C:/Users/anye forti/Desktop/2025 FALL/426 COSC/YOLO_TESTING/bbox-snapshots/frame03107_id9172.png", "frame03107_id9172.png")</f>
        <v/>
      </c>
    </row>
    <row r="592">
      <c r="A592" t="n">
        <v>3109</v>
      </c>
      <c r="B592" t="n">
        <v>9185</v>
      </c>
      <c r="C592" t="n">
        <v>37026</v>
      </c>
      <c r="D592" t="n">
        <v>1</v>
      </c>
      <c r="E592">
        <f>HYPERLINK("file:///C:/Users/anye forti/Desktop/2025 FALL/426 COSC/YOLO_TESTING/bbox-snapshots/frame03109_id9185.png", "frame03109_id9185.png")</f>
        <v/>
      </c>
    </row>
    <row r="593">
      <c r="A593" t="n">
        <v>3111</v>
      </c>
      <c r="B593" t="n">
        <v>9181</v>
      </c>
      <c r="C593" t="n">
        <v>35088</v>
      </c>
      <c r="D593" t="n">
        <v>1</v>
      </c>
      <c r="E593">
        <f>HYPERLINK("file:///C:/Users/anye forti/Desktop/2025 FALL/426 COSC/YOLO_TESTING/bbox-snapshots/frame03111_id9181.png", "frame03111_id9181.png")</f>
        <v/>
      </c>
    </row>
    <row r="594">
      <c r="A594" t="n">
        <v>3118</v>
      </c>
      <c r="B594" t="n">
        <v>9218</v>
      </c>
      <c r="C594" t="n">
        <v>44450</v>
      </c>
      <c r="D594" t="n">
        <v>1</v>
      </c>
      <c r="E594">
        <f>HYPERLINK("file:///C:/Users/anye forti/Desktop/2025 FALL/426 COSC/YOLO_TESTING/bbox-snapshots/frame03118_id9218.png", "frame03118_id9218.png")</f>
        <v/>
      </c>
    </row>
    <row r="595">
      <c r="A595" t="n">
        <v>3125</v>
      </c>
      <c r="B595" t="n">
        <v>9256</v>
      </c>
      <c r="C595" t="n">
        <v>35066</v>
      </c>
      <c r="D595" t="n">
        <v>1</v>
      </c>
      <c r="E595">
        <f>HYPERLINK("file:///C:/Users/anye forti/Desktop/2025 FALL/426 COSC/YOLO_TESTING/bbox-snapshots/frame03125_id9256.png", "frame03125_id9256.png")</f>
        <v/>
      </c>
    </row>
    <row r="596">
      <c r="A596" t="n">
        <v>3131</v>
      </c>
      <c r="B596" t="n">
        <v>9260</v>
      </c>
      <c r="C596" t="n">
        <v>39606</v>
      </c>
      <c r="D596" t="n">
        <v>1</v>
      </c>
      <c r="E596">
        <f>HYPERLINK("file:///C:/Users/anye forti/Desktop/2025 FALL/426 COSC/YOLO_TESTING/bbox-snapshots/frame03131_id9260.png", "frame03131_id9260.png")</f>
        <v/>
      </c>
    </row>
    <row r="597">
      <c r="A597" t="n">
        <v>3135</v>
      </c>
      <c r="B597" t="n">
        <v>9289</v>
      </c>
      <c r="C597" t="n">
        <v>29028</v>
      </c>
      <c r="D597" t="n">
        <v>1</v>
      </c>
      <c r="E597">
        <f>HYPERLINK("file:///C:/Users/anye forti/Desktop/2025 FALL/426 COSC/YOLO_TESTING/bbox-snapshots/frame03135_id9289.png", "frame03135_id9289.png")</f>
        <v/>
      </c>
    </row>
    <row r="598">
      <c r="A598" t="n">
        <v>3136</v>
      </c>
      <c r="B598" t="n">
        <v>9306</v>
      </c>
      <c r="C598" t="n">
        <v>46299</v>
      </c>
      <c r="D598" t="n">
        <v>1</v>
      </c>
      <c r="E598">
        <f>HYPERLINK("file:///C:/Users/anye forti/Desktop/2025 FALL/426 COSC/YOLO_TESTING/bbox-snapshots/frame03136_id9306.png", "frame03136_id9306.png")</f>
        <v/>
      </c>
    </row>
    <row r="599">
      <c r="A599" t="n">
        <v>3137</v>
      </c>
      <c r="B599" t="n">
        <v>9303</v>
      </c>
      <c r="C599" t="n">
        <v>71704</v>
      </c>
      <c r="D599" t="n">
        <v>2</v>
      </c>
      <c r="E599">
        <f>HYPERLINK("file:///C:/Users/anye forti/Desktop/2025 FALL/426 COSC/YOLO_TESTING/bbox-snapshots/frame03137_id9303.png", "frame03137_id9303.png")</f>
        <v/>
      </c>
    </row>
    <row r="600">
      <c r="A600" t="n">
        <v>3147</v>
      </c>
      <c r="B600" t="n">
        <v>9329</v>
      </c>
      <c r="C600" t="n">
        <v>44322</v>
      </c>
      <c r="D600" t="n">
        <v>1</v>
      </c>
      <c r="E600">
        <f>HYPERLINK("file:///C:/Users/anye forti/Desktop/2025 FALL/426 COSC/YOLO_TESTING/bbox-snapshots/frame03147_id9329.png", "frame03147_id9329.png")</f>
        <v/>
      </c>
    </row>
    <row r="601">
      <c r="A601" t="n">
        <v>3148</v>
      </c>
      <c r="B601" t="n">
        <v>9328</v>
      </c>
      <c r="C601" t="n">
        <v>44280</v>
      </c>
      <c r="D601" t="n">
        <v>1</v>
      </c>
      <c r="E601">
        <f>HYPERLINK("file:///C:/Users/anye forti/Desktop/2025 FALL/426 COSC/YOLO_TESTING/bbox-snapshots/frame03148_id9328.png", "frame03148_id9328.png")</f>
        <v/>
      </c>
    </row>
    <row r="602">
      <c r="A602" t="n">
        <v>3156</v>
      </c>
      <c r="B602" t="n">
        <v>9361</v>
      </c>
      <c r="C602" t="n">
        <v>55080</v>
      </c>
      <c r="D602" t="n">
        <v>1</v>
      </c>
      <c r="E602">
        <f>HYPERLINK("file:///C:/Users/anye forti/Desktop/2025 FALL/426 COSC/YOLO_TESTING/bbox-snapshots/frame03156_id9361.png", "frame03156_id9361.png")</f>
        <v/>
      </c>
    </row>
    <row r="603">
      <c r="A603" t="n">
        <v>3165</v>
      </c>
      <c r="B603" t="n">
        <v>9368</v>
      </c>
      <c r="C603" t="n">
        <v>42636</v>
      </c>
      <c r="D603" t="n">
        <v>1</v>
      </c>
      <c r="E603">
        <f>HYPERLINK("file:///C:/Users/anye forti/Desktop/2025 FALL/426 COSC/YOLO_TESTING/bbox-snapshots/frame03165_id9368.png", "frame03165_id9368.png")</f>
        <v/>
      </c>
    </row>
    <row r="604">
      <c r="A604" t="n">
        <v>3170</v>
      </c>
      <c r="B604" t="n">
        <v>9369</v>
      </c>
      <c r="C604" t="n">
        <v>53095</v>
      </c>
      <c r="D604" t="n">
        <v>1</v>
      </c>
      <c r="E604">
        <f>HYPERLINK("file:///C:/Users/anye forti/Desktop/2025 FALL/426 COSC/YOLO_TESTING/bbox-snapshots/frame03170_id9369.png", "frame03170_id9369.png")</f>
        <v/>
      </c>
    </row>
    <row r="605">
      <c r="A605" t="n">
        <v>3172</v>
      </c>
      <c r="B605" t="n">
        <v>9419</v>
      </c>
      <c r="C605" t="n">
        <v>47802</v>
      </c>
      <c r="D605" t="n">
        <v>1</v>
      </c>
      <c r="E605">
        <f>HYPERLINK("file:///C:/Users/anye forti/Desktop/2025 FALL/426 COSC/YOLO_TESTING/bbox-snapshots/frame03172_id9419.png", "frame03172_id9419.png")</f>
        <v/>
      </c>
    </row>
    <row r="606">
      <c r="A606" t="n">
        <v>3179</v>
      </c>
      <c r="B606" t="n">
        <v>9437</v>
      </c>
      <c r="C606" t="n">
        <v>35420</v>
      </c>
      <c r="D606" t="n">
        <v>1</v>
      </c>
      <c r="E606">
        <f>HYPERLINK("file:///C:/Users/anye forti/Desktop/2025 FALL/426 COSC/YOLO_TESTING/bbox-snapshots/frame03179_id9437.png", "frame03179_id9437.png")</f>
        <v/>
      </c>
    </row>
    <row r="607">
      <c r="A607" t="n">
        <v>3180</v>
      </c>
      <c r="B607" t="n">
        <v>9459</v>
      </c>
      <c r="C607" t="n">
        <v>43554</v>
      </c>
      <c r="D607" t="n">
        <v>1</v>
      </c>
      <c r="E607">
        <f>HYPERLINK("file:///C:/Users/anye forti/Desktop/2025 FALL/426 COSC/YOLO_TESTING/bbox-snapshots/frame03180_id9459.png", "frame03180_id9459.png")</f>
        <v/>
      </c>
    </row>
    <row r="608">
      <c r="A608" t="n">
        <v>3186</v>
      </c>
      <c r="B608" t="n">
        <v>9453</v>
      </c>
      <c r="C608" t="n">
        <v>16896</v>
      </c>
      <c r="D608" t="n">
        <v>1</v>
      </c>
      <c r="E608">
        <f>HYPERLINK("file:///C:/Users/anye forti/Desktop/2025 FALL/426 COSC/YOLO_TESTING/bbox-snapshots/frame03186_id9453.png", "frame03186_id9453.png")</f>
        <v/>
      </c>
    </row>
    <row r="609">
      <c r="A609" t="n">
        <v>3186</v>
      </c>
      <c r="B609" t="n">
        <v>9470</v>
      </c>
      <c r="C609" t="n">
        <v>37575</v>
      </c>
      <c r="D609" t="n">
        <v>1</v>
      </c>
      <c r="E609">
        <f>HYPERLINK("file:///C:/Users/anye forti/Desktop/2025 FALL/426 COSC/YOLO_TESTING/bbox-snapshots/frame03186_id9470.png", "frame03186_id9470.png")</f>
        <v/>
      </c>
    </row>
    <row r="610">
      <c r="A610" t="n">
        <v>3188</v>
      </c>
      <c r="B610" t="n">
        <v>9492</v>
      </c>
      <c r="C610" t="n">
        <v>42504</v>
      </c>
      <c r="D610" t="n">
        <v>1</v>
      </c>
      <c r="E610">
        <f>HYPERLINK("file:///C:/Users/anye forti/Desktop/2025 FALL/426 COSC/YOLO_TESTING/bbox-snapshots/frame03188_id9492.png", "frame03188_id9492.png")</f>
        <v/>
      </c>
    </row>
    <row r="611">
      <c r="A611" t="n">
        <v>3191</v>
      </c>
      <c r="B611" t="n">
        <v>9505</v>
      </c>
      <c r="C611" t="n">
        <v>34410</v>
      </c>
      <c r="D611" t="n">
        <v>1</v>
      </c>
      <c r="E611">
        <f>HYPERLINK("file:///C:/Users/anye forti/Desktop/2025 FALL/426 COSC/YOLO_TESTING/bbox-snapshots/frame03191_id9505.png", "frame03191_id9505.png")</f>
        <v/>
      </c>
    </row>
    <row r="612">
      <c r="A612" t="n">
        <v>3195</v>
      </c>
      <c r="B612" t="n">
        <v>9527</v>
      </c>
      <c r="C612" t="n">
        <v>49979</v>
      </c>
      <c r="D612" t="n">
        <v>1</v>
      </c>
      <c r="E612">
        <f>HYPERLINK("file:///C:/Users/anye forti/Desktop/2025 FALL/426 COSC/YOLO_TESTING/bbox-snapshots/frame03195_id9527.png", "frame03195_id9527.png")</f>
        <v/>
      </c>
    </row>
    <row r="613">
      <c r="A613" t="n">
        <v>3196</v>
      </c>
      <c r="B613" t="n">
        <v>9546</v>
      </c>
      <c r="C613" t="n">
        <v>35526</v>
      </c>
      <c r="D613" t="n">
        <v>1</v>
      </c>
      <c r="E613">
        <f>HYPERLINK("file:///C:/Users/anye forti/Desktop/2025 FALL/426 COSC/YOLO_TESTING/bbox-snapshots/frame03196_id9546.png", "frame03196_id9546.png")</f>
        <v/>
      </c>
    </row>
    <row r="614">
      <c r="A614" t="n">
        <v>3200</v>
      </c>
      <c r="B614" t="n">
        <v>9591</v>
      </c>
      <c r="C614" t="n">
        <v>31553</v>
      </c>
      <c r="D614" t="n">
        <v>1</v>
      </c>
      <c r="E614">
        <f>HYPERLINK("file:///C:/Users/anye forti/Desktop/2025 FALL/426 COSC/YOLO_TESTING/bbox-snapshots/frame03200_id9591.png", "frame03200_id9591.png")</f>
        <v/>
      </c>
    </row>
    <row r="615">
      <c r="A615" t="n">
        <v>3206</v>
      </c>
      <c r="B615" t="n">
        <v>9559</v>
      </c>
      <c r="C615" t="n">
        <v>54902</v>
      </c>
      <c r="D615" t="n">
        <v>1</v>
      </c>
      <c r="E615">
        <f>HYPERLINK("file:///C:/Users/anye forti/Desktop/2025 FALL/426 COSC/YOLO_TESTING/bbox-snapshots/frame03206_id9559.png", "frame03206_id9559.png")</f>
        <v/>
      </c>
    </row>
    <row r="616">
      <c r="A616" t="n">
        <v>3208</v>
      </c>
      <c r="B616" t="n">
        <v>9570</v>
      </c>
      <c r="C616" t="n">
        <v>43968</v>
      </c>
      <c r="D616" t="n">
        <v>1</v>
      </c>
      <c r="E616">
        <f>HYPERLINK("file:///C:/Users/anye forti/Desktop/2025 FALL/426 COSC/YOLO_TESTING/bbox-snapshots/frame03208_id9570.png", "frame03208_id9570.png")</f>
        <v/>
      </c>
    </row>
    <row r="617">
      <c r="A617" t="n">
        <v>3208</v>
      </c>
      <c r="B617" t="n">
        <v>9249</v>
      </c>
      <c r="C617" t="n">
        <v>40788</v>
      </c>
      <c r="D617" t="n">
        <v>1</v>
      </c>
      <c r="E617">
        <f>HYPERLINK("file:///C:/Users/anye forti/Desktop/2025 FALL/426 COSC/YOLO_TESTING/bbox-snapshots/frame03208_id9249.png", "frame03208_id9249.png")</f>
        <v/>
      </c>
    </row>
    <row r="618">
      <c r="A618" t="n">
        <v>3208</v>
      </c>
      <c r="B618" t="n">
        <v>9530</v>
      </c>
      <c r="C618" t="n">
        <v>43915</v>
      </c>
      <c r="D618" t="n">
        <v>1</v>
      </c>
      <c r="E618">
        <f>HYPERLINK("file:///C:/Users/anye forti/Desktop/2025 FALL/426 COSC/YOLO_TESTING/bbox-snapshots/frame03208_id9530.png", "frame03208_id9530.png")</f>
        <v/>
      </c>
    </row>
    <row r="619">
      <c r="A619" t="n">
        <v>3214</v>
      </c>
      <c r="B619" t="n">
        <v>9596</v>
      </c>
      <c r="C619" t="n">
        <v>31772</v>
      </c>
      <c r="D619" t="n">
        <v>1</v>
      </c>
      <c r="E619">
        <f>HYPERLINK("file:///C:/Users/anye forti/Desktop/2025 FALL/426 COSC/YOLO_TESTING/bbox-snapshots/frame03214_id9596.png", "frame03214_id9596.png")</f>
        <v/>
      </c>
    </row>
    <row r="620">
      <c r="A620" t="n">
        <v>3218</v>
      </c>
      <c r="B620" t="n">
        <v>9633</v>
      </c>
      <c r="C620" t="n">
        <v>14632</v>
      </c>
      <c r="D620" t="n">
        <v>1</v>
      </c>
      <c r="E620">
        <f>HYPERLINK("file:///C:/Users/anye forti/Desktop/2025 FALL/426 COSC/YOLO_TESTING/bbox-snapshots/frame03218_id9633.png", "frame03218_id9633.png")</f>
        <v/>
      </c>
    </row>
    <row r="621">
      <c r="A621" t="n">
        <v>3223</v>
      </c>
      <c r="B621" t="n">
        <v>9658</v>
      </c>
      <c r="C621" t="n">
        <v>12528</v>
      </c>
      <c r="D621" t="n">
        <v>1</v>
      </c>
      <c r="E621">
        <f>HYPERLINK("file:///C:/Users/anye forti/Desktop/2025 FALL/426 COSC/YOLO_TESTING/bbox-snapshots/frame03223_id9658.png", "frame03223_id9658.png")</f>
        <v/>
      </c>
    </row>
    <row r="622">
      <c r="A622" t="n">
        <v>3231</v>
      </c>
      <c r="B622" t="n">
        <v>9638</v>
      </c>
      <c r="C622" t="n">
        <v>52628</v>
      </c>
      <c r="D622" t="n">
        <v>1</v>
      </c>
      <c r="E622">
        <f>HYPERLINK("file:///C:/Users/anye forti/Desktop/2025 FALL/426 COSC/YOLO_TESTING/bbox-snapshots/frame03231_id9638.png", "frame03231_id9638.png")</f>
        <v/>
      </c>
    </row>
    <row r="623">
      <c r="A623" t="n">
        <v>3248</v>
      </c>
      <c r="B623" t="n">
        <v>9708</v>
      </c>
      <c r="C623" t="n">
        <v>58750</v>
      </c>
      <c r="D623" t="n">
        <v>1</v>
      </c>
      <c r="E623">
        <f>HYPERLINK("file:///C:/Users/anye forti/Desktop/2025 FALL/426 COSC/YOLO_TESTING/bbox-snapshots/frame03248_id9708.png", "frame03248_id9708.png")</f>
        <v/>
      </c>
    </row>
    <row r="624">
      <c r="A624" t="n">
        <v>3248</v>
      </c>
      <c r="B624" t="n">
        <v>9712</v>
      </c>
      <c r="C624" t="n">
        <v>43357</v>
      </c>
      <c r="D624" t="n">
        <v>1</v>
      </c>
      <c r="E624">
        <f>HYPERLINK("file:///C:/Users/anye forti/Desktop/2025 FALL/426 COSC/YOLO_TESTING/bbox-snapshots/frame03248_id9712.png", "frame03248_id9712.png")</f>
        <v/>
      </c>
    </row>
    <row r="625">
      <c r="A625" t="n">
        <v>3250</v>
      </c>
      <c r="B625" t="n">
        <v>9731</v>
      </c>
      <c r="C625" t="n">
        <v>41634</v>
      </c>
      <c r="D625" t="n">
        <v>1</v>
      </c>
      <c r="E625">
        <f>HYPERLINK("file:///C:/Users/anye forti/Desktop/2025 FALL/426 COSC/YOLO_TESTING/bbox-snapshots/frame03250_id9731.png", "frame03250_id9731.png")</f>
        <v/>
      </c>
    </row>
    <row r="626">
      <c r="A626" t="n">
        <v>3255</v>
      </c>
      <c r="B626" t="n">
        <v>9752</v>
      </c>
      <c r="C626" t="n">
        <v>55200</v>
      </c>
      <c r="D626" t="n">
        <v>1</v>
      </c>
      <c r="E626">
        <f>HYPERLINK("file:///C:/Users/anye forti/Desktop/2025 FALL/426 COSC/YOLO_TESTING/bbox-snapshots/frame03255_id9752.png", "frame03255_id9752.png")</f>
        <v/>
      </c>
    </row>
    <row r="627">
      <c r="A627" t="n">
        <v>3260</v>
      </c>
      <c r="B627" t="n">
        <v>9756</v>
      </c>
      <c r="C627" t="n">
        <v>33288</v>
      </c>
      <c r="D627" t="n">
        <v>1</v>
      </c>
      <c r="E627">
        <f>HYPERLINK("file:///C:/Users/anye forti/Desktop/2025 FALL/426 COSC/YOLO_TESTING/bbox-snapshots/frame03260_id9756.png", "frame03260_id9756.png")</f>
        <v/>
      </c>
    </row>
    <row r="628">
      <c r="A628" t="n">
        <v>3260</v>
      </c>
      <c r="B628" t="n">
        <v>9763</v>
      </c>
      <c r="C628" t="n">
        <v>29406</v>
      </c>
      <c r="D628" t="n">
        <v>1</v>
      </c>
      <c r="E628">
        <f>HYPERLINK("file:///C:/Users/anye forti/Desktop/2025 FALL/426 COSC/YOLO_TESTING/bbox-snapshots/frame03260_id9763.png", "frame03260_id9763.png")</f>
        <v/>
      </c>
    </row>
    <row r="629">
      <c r="A629" t="n">
        <v>3276</v>
      </c>
      <c r="B629" t="n">
        <v>9799</v>
      </c>
      <c r="C629" t="n">
        <v>50264</v>
      </c>
      <c r="D629" t="n">
        <v>1</v>
      </c>
      <c r="E629">
        <f>HYPERLINK("file:///C:/Users/anye forti/Desktop/2025 FALL/426 COSC/YOLO_TESTING/bbox-snapshots/frame03276_id9799.png", "frame03276_id9799.png")</f>
        <v/>
      </c>
    </row>
    <row r="630">
      <c r="A630" t="n">
        <v>3282</v>
      </c>
      <c r="B630" t="n">
        <v>9800</v>
      </c>
      <c r="C630" t="n">
        <v>39179</v>
      </c>
      <c r="D630" t="n">
        <v>1</v>
      </c>
      <c r="E630">
        <f>HYPERLINK("file:///C:/Users/anye forti/Desktop/2025 FALL/426 COSC/YOLO_TESTING/bbox-snapshots/frame03282_id9800.png", "frame03282_id9800.png")</f>
        <v/>
      </c>
    </row>
    <row r="631">
      <c r="A631" t="n">
        <v>3282</v>
      </c>
      <c r="B631" t="n">
        <v>9853</v>
      </c>
      <c r="C631" t="n">
        <v>25050</v>
      </c>
      <c r="D631" t="n">
        <v>1</v>
      </c>
      <c r="E631">
        <f>HYPERLINK("file:///C:/Users/anye forti/Desktop/2025 FALL/426 COSC/YOLO_TESTING/bbox-snapshots/frame03282_id9853.png", "frame03282_id9853.png")</f>
        <v/>
      </c>
    </row>
    <row r="632">
      <c r="A632" t="n">
        <v>3283</v>
      </c>
      <c r="B632" t="n">
        <v>9835</v>
      </c>
      <c r="C632" t="n">
        <v>33968</v>
      </c>
      <c r="D632" t="n">
        <v>1</v>
      </c>
      <c r="E632">
        <f>HYPERLINK("file:///C:/Users/anye forti/Desktop/2025 FALL/426 COSC/YOLO_TESTING/bbox-snapshots/frame03283_id9835.png", "frame03283_id9835.png")</f>
        <v/>
      </c>
    </row>
    <row r="633">
      <c r="A633" t="n">
        <v>3293</v>
      </c>
      <c r="B633" t="n">
        <v>9741</v>
      </c>
      <c r="C633" t="n">
        <v>52060</v>
      </c>
      <c r="D633" t="n">
        <v>1</v>
      </c>
      <c r="E633">
        <f>HYPERLINK("file:///C:/Users/anye forti/Desktop/2025 FALL/426 COSC/YOLO_TESTING/bbox-snapshots/frame03293_id9741.png", "frame03293_id9741.png")</f>
        <v/>
      </c>
    </row>
    <row r="634">
      <c r="A634" t="n">
        <v>3294</v>
      </c>
      <c r="B634" t="n">
        <v>9877</v>
      </c>
      <c r="C634" t="n">
        <v>33432</v>
      </c>
      <c r="D634" t="n">
        <v>1</v>
      </c>
      <c r="E634">
        <f>HYPERLINK("file:///C:/Users/anye forti/Desktop/2025 FALL/426 COSC/YOLO_TESTING/bbox-snapshots/frame03294_id9877.png", "frame03294_id9877.png")</f>
        <v/>
      </c>
    </row>
    <row r="635">
      <c r="A635" t="n">
        <v>3305</v>
      </c>
      <c r="B635" t="n">
        <v>9887</v>
      </c>
      <c r="C635" t="n">
        <v>51429</v>
      </c>
      <c r="D635" t="n">
        <v>1</v>
      </c>
      <c r="E635">
        <f>HYPERLINK("file:///C:/Users/anye forti/Desktop/2025 FALL/426 COSC/YOLO_TESTING/bbox-snapshots/frame03305_id9887.png", "frame03305_id9887.png")</f>
        <v/>
      </c>
    </row>
    <row r="636">
      <c r="A636" t="n">
        <v>3318</v>
      </c>
      <c r="B636" t="n">
        <v>9930</v>
      </c>
      <c r="C636" t="n">
        <v>48594</v>
      </c>
      <c r="D636" t="n">
        <v>1</v>
      </c>
      <c r="E636">
        <f>HYPERLINK("file:///C:/Users/anye forti/Desktop/2025 FALL/426 COSC/YOLO_TESTING/bbox-snapshots/frame03318_id9930.png", "frame03318_id9930.png")</f>
        <v/>
      </c>
    </row>
    <row r="637">
      <c r="A637" t="n">
        <v>3319</v>
      </c>
      <c r="B637" t="n">
        <v>9878</v>
      </c>
      <c r="C637" t="n">
        <v>37714</v>
      </c>
      <c r="D637" t="n">
        <v>1</v>
      </c>
      <c r="E637">
        <f>HYPERLINK("file:///C:/Users/anye forti/Desktop/2025 FALL/426 COSC/YOLO_TESTING/bbox-snapshots/frame03319_id9878.png", "frame03319_id9878.png")</f>
        <v/>
      </c>
    </row>
    <row r="638">
      <c r="A638" t="n">
        <v>3324</v>
      </c>
      <c r="B638" t="n">
        <v>9935</v>
      </c>
      <c r="C638" t="n">
        <v>56648</v>
      </c>
      <c r="D638" t="n">
        <v>1</v>
      </c>
      <c r="E638">
        <f>HYPERLINK("file:///C:/Users/anye forti/Desktop/2025 FALL/426 COSC/YOLO_TESTING/bbox-snapshots/frame03324_id9935.png", "frame03324_id9935.png")</f>
        <v/>
      </c>
    </row>
    <row r="639">
      <c r="A639" t="n">
        <v>3327</v>
      </c>
      <c r="B639" t="n">
        <v>9944</v>
      </c>
      <c r="C639" t="n">
        <v>33033</v>
      </c>
      <c r="D639" t="n">
        <v>1</v>
      </c>
      <c r="E639">
        <f>HYPERLINK("file:///C:/Users/anye forti/Desktop/2025 FALL/426 COSC/YOLO_TESTING/bbox-snapshots/frame03327_id9944.png", "frame03327_id9944.png")</f>
        <v/>
      </c>
    </row>
    <row r="640">
      <c r="A640" t="n">
        <v>3333</v>
      </c>
      <c r="B640" t="n">
        <v>9951</v>
      </c>
      <c r="C640" t="n">
        <v>47229</v>
      </c>
      <c r="D640" t="n">
        <v>1</v>
      </c>
      <c r="E640">
        <f>HYPERLINK("file:///C:/Users/anye forti/Desktop/2025 FALL/426 COSC/YOLO_TESTING/bbox-snapshots/frame03333_id9951.png", "frame03333_id9951.png")</f>
        <v/>
      </c>
    </row>
    <row r="641">
      <c r="A641" t="n">
        <v>3341</v>
      </c>
      <c r="B641" t="n">
        <v>9966</v>
      </c>
      <c r="C641" t="n">
        <v>62909</v>
      </c>
      <c r="D641" t="n">
        <v>2</v>
      </c>
      <c r="E641">
        <f>HYPERLINK("file:///C:/Users/anye forti/Desktop/2025 FALL/426 COSC/YOLO_TESTING/bbox-snapshots/frame03341_id9966.png", "frame03341_id9966.png")</f>
        <v/>
      </c>
    </row>
    <row r="642">
      <c r="A642" t="n">
        <v>3344</v>
      </c>
      <c r="B642" t="n">
        <v>10071</v>
      </c>
      <c r="C642" t="n">
        <v>20680</v>
      </c>
      <c r="D642" t="n">
        <v>1</v>
      </c>
      <c r="E642">
        <f>HYPERLINK("file:///C:/Users/anye forti/Desktop/2025 FALL/426 COSC/YOLO_TESTING/bbox-snapshots/frame03344_id10071.png", "frame03344_id10071.png")</f>
        <v/>
      </c>
    </row>
    <row r="643">
      <c r="A643" t="n">
        <v>3346</v>
      </c>
      <c r="B643" t="n">
        <v>10046</v>
      </c>
      <c r="C643" t="n">
        <v>19278</v>
      </c>
      <c r="D643" t="n">
        <v>1</v>
      </c>
      <c r="E643">
        <f>HYPERLINK("file:///C:/Users/anye forti/Desktop/2025 FALL/426 COSC/YOLO_TESTING/bbox-snapshots/frame03346_id10046.png", "frame03346_id10046.png")</f>
        <v/>
      </c>
    </row>
    <row r="644">
      <c r="A644" t="n">
        <v>3351</v>
      </c>
      <c r="B644" t="n">
        <v>10013</v>
      </c>
      <c r="C644" t="n">
        <v>25740</v>
      </c>
      <c r="D644" t="n">
        <v>1</v>
      </c>
      <c r="E644">
        <f>HYPERLINK("file:///C:/Users/anye forti/Desktop/2025 FALL/426 COSC/YOLO_TESTING/bbox-snapshots/frame03351_id10013.png", "frame03351_id10013.png")</f>
        <v/>
      </c>
    </row>
    <row r="645">
      <c r="A645" t="n">
        <v>3352</v>
      </c>
      <c r="B645" t="n">
        <v>10028</v>
      </c>
      <c r="C645" t="n">
        <v>25840</v>
      </c>
      <c r="D645" t="n">
        <v>1</v>
      </c>
      <c r="E645">
        <f>HYPERLINK("file:///C:/Users/anye forti/Desktop/2025 FALL/426 COSC/YOLO_TESTING/bbox-snapshots/frame03352_id10028.png", "frame03352_id10028.png")</f>
        <v/>
      </c>
    </row>
    <row r="646">
      <c r="A646" t="n">
        <v>3352</v>
      </c>
      <c r="B646" t="n">
        <v>10113</v>
      </c>
      <c r="C646" t="n">
        <v>36803</v>
      </c>
      <c r="D646" t="n">
        <v>1</v>
      </c>
      <c r="E646">
        <f>HYPERLINK("file:///C:/Users/anye forti/Desktop/2025 FALL/426 COSC/YOLO_TESTING/bbox-snapshots/frame03352_id10113.png", "frame03352_id10113.png")</f>
        <v/>
      </c>
    </row>
    <row r="647">
      <c r="A647" t="n">
        <v>3355</v>
      </c>
      <c r="B647" t="n">
        <v>10022</v>
      </c>
      <c r="C647" t="n">
        <v>20886</v>
      </c>
      <c r="D647" t="n">
        <v>1</v>
      </c>
      <c r="E647">
        <f>HYPERLINK("file:///C:/Users/anye forti/Desktop/2025 FALL/426 COSC/YOLO_TESTING/bbox-snapshots/frame03355_id10022.png", "frame03355_id10022.png")</f>
        <v/>
      </c>
    </row>
    <row r="648">
      <c r="A648" t="n">
        <v>3355</v>
      </c>
      <c r="B648" t="n">
        <v>10040</v>
      </c>
      <c r="C648" t="n">
        <v>26208</v>
      </c>
      <c r="D648" t="n">
        <v>1</v>
      </c>
      <c r="E648">
        <f>HYPERLINK("file:///C:/Users/anye forti/Desktop/2025 FALL/426 COSC/YOLO_TESTING/bbox-snapshots/frame03355_id10040.png", "frame03355_id10040.png")</f>
        <v/>
      </c>
    </row>
    <row r="649">
      <c r="A649" t="n">
        <v>3357</v>
      </c>
      <c r="B649" t="n">
        <v>9986</v>
      </c>
      <c r="C649" t="n">
        <v>39525</v>
      </c>
      <c r="D649" t="n">
        <v>1</v>
      </c>
      <c r="E649">
        <f>HYPERLINK("file:///C:/Users/anye forti/Desktop/2025 FALL/426 COSC/YOLO_TESTING/bbox-snapshots/frame03357_id9986.png", "frame03357_id9986.png")</f>
        <v/>
      </c>
    </row>
    <row r="650">
      <c r="A650" t="n">
        <v>3358</v>
      </c>
      <c r="B650" t="n">
        <v>10119</v>
      </c>
      <c r="C650" t="n">
        <v>49280</v>
      </c>
      <c r="D650" t="n">
        <v>1</v>
      </c>
      <c r="E650">
        <f>HYPERLINK("file:///C:/Users/anye forti/Desktop/2025 FALL/426 COSC/YOLO_TESTING/bbox-snapshots/frame03358_id10119.png", "frame03358_id10119.png")</f>
        <v/>
      </c>
    </row>
    <row r="651">
      <c r="A651" t="n">
        <v>3364</v>
      </c>
      <c r="B651" t="n">
        <v>10097</v>
      </c>
      <c r="C651" t="n">
        <v>41082</v>
      </c>
      <c r="D651" t="n">
        <v>1</v>
      </c>
      <c r="E651">
        <f>HYPERLINK("file:///C:/Users/anye forti/Desktop/2025 FALL/426 COSC/YOLO_TESTING/bbox-snapshots/frame03364_id10097.png", "frame03364_id10097.png")</f>
        <v/>
      </c>
    </row>
    <row r="652">
      <c r="A652" t="n">
        <v>3365</v>
      </c>
      <c r="B652" t="n">
        <v>10094</v>
      </c>
      <c r="C652" t="n">
        <v>16830</v>
      </c>
      <c r="D652" t="n">
        <v>1</v>
      </c>
      <c r="E652">
        <f>HYPERLINK("file:///C:/Users/anye forti/Desktop/2025 FALL/426 COSC/YOLO_TESTING/bbox-snapshots/frame03365_id10094.png", "frame03365_id10094.png")</f>
        <v/>
      </c>
    </row>
    <row r="653">
      <c r="A653" t="n">
        <v>3368</v>
      </c>
      <c r="B653" t="n">
        <v>10120</v>
      </c>
      <c r="C653" t="n">
        <v>37516</v>
      </c>
      <c r="D653" t="n">
        <v>1</v>
      </c>
      <c r="E653">
        <f>HYPERLINK("file:///C:/Users/anye forti/Desktop/2025 FALL/426 COSC/YOLO_TESTING/bbox-snapshots/frame03368_id10120.png", "frame03368_id10120.png")</f>
        <v/>
      </c>
    </row>
    <row r="654">
      <c r="A654" t="n">
        <v>3370</v>
      </c>
      <c r="B654" t="n">
        <v>10126</v>
      </c>
      <c r="C654" t="n">
        <v>41440</v>
      </c>
      <c r="D654" t="n">
        <v>1</v>
      </c>
      <c r="E654">
        <f>HYPERLINK("file:///C:/Users/anye forti/Desktop/2025 FALL/426 COSC/YOLO_TESTING/bbox-snapshots/frame03370_id10126.png", "frame03370_id10126.png")</f>
        <v/>
      </c>
    </row>
    <row r="655">
      <c r="A655" t="n">
        <v>3374</v>
      </c>
      <c r="B655" t="n">
        <v>10144</v>
      </c>
      <c r="C655" t="n">
        <v>45666</v>
      </c>
      <c r="D655" t="n">
        <v>1</v>
      </c>
      <c r="E655">
        <f>HYPERLINK("file:///C:/Users/anye forti/Desktop/2025 FALL/426 COSC/YOLO_TESTING/bbox-snapshots/frame03374_id10144.png", "frame03374_id10144.png")</f>
        <v/>
      </c>
    </row>
    <row r="656">
      <c r="A656" t="n">
        <v>3374</v>
      </c>
      <c r="B656" t="n">
        <v>9976</v>
      </c>
      <c r="C656" t="n">
        <v>47840</v>
      </c>
      <c r="D656" t="n">
        <v>1</v>
      </c>
      <c r="E656">
        <f>HYPERLINK("file:///C:/Users/anye forti/Desktop/2025 FALL/426 COSC/YOLO_TESTING/bbox-snapshots/frame03374_id9976.png", "frame03374_id9976.png")</f>
        <v/>
      </c>
    </row>
    <row r="657">
      <c r="A657" t="n">
        <v>3380</v>
      </c>
      <c r="B657" t="n">
        <v>10176</v>
      </c>
      <c r="C657" t="n">
        <v>52116</v>
      </c>
      <c r="D657" t="n">
        <v>1</v>
      </c>
      <c r="E657">
        <f>HYPERLINK("file:///C:/Users/anye forti/Desktop/2025 FALL/426 COSC/YOLO_TESTING/bbox-snapshots/frame03380_id10176.png", "frame03380_id10176.png")</f>
        <v/>
      </c>
    </row>
    <row r="658">
      <c r="A658" t="n">
        <v>3383</v>
      </c>
      <c r="B658" t="n">
        <v>10220</v>
      </c>
      <c r="C658" t="n">
        <v>14586</v>
      </c>
      <c r="D658" t="n">
        <v>1</v>
      </c>
      <c r="E658">
        <f>HYPERLINK("file:///C:/Users/anye forti/Desktop/2025 FALL/426 COSC/YOLO_TESTING/bbox-snapshots/frame03383_id10220.png", "frame03383_id10220.png")</f>
        <v/>
      </c>
    </row>
    <row r="659">
      <c r="A659" t="n">
        <v>3393</v>
      </c>
      <c r="B659" t="n">
        <v>10262</v>
      </c>
      <c r="C659" t="n">
        <v>47470</v>
      </c>
      <c r="D659" t="n">
        <v>1</v>
      </c>
      <c r="E659">
        <f>HYPERLINK("file:///C:/Users/anye forti/Desktop/2025 FALL/426 COSC/YOLO_TESTING/bbox-snapshots/frame03393_id10262.png", "frame03393_id10262.png")</f>
        <v/>
      </c>
    </row>
    <row r="660">
      <c r="A660" t="n">
        <v>3405</v>
      </c>
      <c r="B660" t="n">
        <v>10254</v>
      </c>
      <c r="C660" t="n">
        <v>69208</v>
      </c>
      <c r="D660" t="n">
        <v>2</v>
      </c>
      <c r="E660">
        <f>HYPERLINK("file:///C:/Users/anye forti/Desktop/2025 FALL/426 COSC/YOLO_TESTING/bbox-snapshots/frame03405_id10254.png", "frame03405_id10254.png")</f>
        <v/>
      </c>
    </row>
    <row r="661">
      <c r="A661" t="n">
        <v>3420</v>
      </c>
      <c r="B661" t="n">
        <v>10344</v>
      </c>
      <c r="C661" t="n">
        <v>49374</v>
      </c>
      <c r="D661" t="n">
        <v>1</v>
      </c>
      <c r="E661">
        <f>HYPERLINK("file:///C:/Users/anye forti/Desktop/2025 FALL/426 COSC/YOLO_TESTING/bbox-snapshots/frame03420_id10344.png", "frame03420_id10344.png")</f>
        <v/>
      </c>
    </row>
    <row r="662">
      <c r="A662" t="n">
        <v>3422</v>
      </c>
      <c r="B662" t="n">
        <v>10393</v>
      </c>
      <c r="C662" t="n">
        <v>28356</v>
      </c>
      <c r="D662" t="n">
        <v>1</v>
      </c>
      <c r="E662">
        <f>HYPERLINK("file:///C:/Users/anye forti/Desktop/2025 FALL/426 COSC/YOLO_TESTING/bbox-snapshots/frame03422_id10393.png", "frame03422_id10393.png")</f>
        <v/>
      </c>
    </row>
    <row r="663">
      <c r="A663" t="n">
        <v>3431</v>
      </c>
      <c r="B663" t="n">
        <v>10370</v>
      </c>
      <c r="C663" t="n">
        <v>50828</v>
      </c>
      <c r="D663" t="n">
        <v>1</v>
      </c>
      <c r="E663">
        <f>HYPERLINK("file:///C:/Users/anye forti/Desktop/2025 FALL/426 COSC/YOLO_TESTING/bbox-snapshots/frame03431_id10370.png", "frame03431_id10370.png")</f>
        <v/>
      </c>
    </row>
    <row r="664">
      <c r="A664" t="n">
        <v>3434</v>
      </c>
      <c r="B664" t="n">
        <v>10353</v>
      </c>
      <c r="C664" t="n">
        <v>49020</v>
      </c>
      <c r="D664" t="n">
        <v>1</v>
      </c>
      <c r="E664">
        <f>HYPERLINK("file:///C:/Users/anye forti/Desktop/2025 FALL/426 COSC/YOLO_TESTING/bbox-snapshots/frame03434_id10353.png", "frame03434_id10353.png")</f>
        <v/>
      </c>
    </row>
    <row r="665">
      <c r="A665" t="n">
        <v>3439</v>
      </c>
      <c r="B665" t="n">
        <v>10384</v>
      </c>
      <c r="C665" t="n">
        <v>30780</v>
      </c>
      <c r="D665" t="n">
        <v>1</v>
      </c>
      <c r="E665">
        <f>HYPERLINK("file:///C:/Users/anye forti/Desktop/2025 FALL/426 COSC/YOLO_TESTING/bbox-snapshots/frame03439_id10384.png", "frame03439_id10384.png")</f>
        <v/>
      </c>
    </row>
    <row r="666">
      <c r="A666" t="n">
        <v>3441</v>
      </c>
      <c r="B666" t="n">
        <v>10394</v>
      </c>
      <c r="C666" t="n">
        <v>55370</v>
      </c>
      <c r="D666" t="n">
        <v>1</v>
      </c>
      <c r="E666">
        <f>HYPERLINK("file:///C:/Users/anye forti/Desktop/2025 FALL/426 COSC/YOLO_TESTING/bbox-snapshots/frame03441_id10394.png", "frame03441_id10394.png")</f>
        <v/>
      </c>
    </row>
    <row r="667">
      <c r="A667" t="n">
        <v>3446</v>
      </c>
      <c r="B667" t="n">
        <v>10417</v>
      </c>
      <c r="C667" t="n">
        <v>39999</v>
      </c>
      <c r="D667" t="n">
        <v>1</v>
      </c>
      <c r="E667">
        <f>HYPERLINK("file:///C:/Users/anye forti/Desktop/2025 FALL/426 COSC/YOLO_TESTING/bbox-snapshots/frame03446_id10417.png", "frame03446_id10417.png")</f>
        <v/>
      </c>
    </row>
    <row r="668">
      <c r="A668" t="n">
        <v>3449</v>
      </c>
      <c r="B668" t="n">
        <v>10420</v>
      </c>
      <c r="C668" t="n">
        <v>26180</v>
      </c>
      <c r="D668" t="n">
        <v>1</v>
      </c>
      <c r="E668">
        <f>HYPERLINK("file:///C:/Users/anye forti/Desktop/2025 FALL/426 COSC/YOLO_TESTING/bbox-snapshots/frame03449_id10420.png", "frame03449_id10420.png")</f>
        <v/>
      </c>
    </row>
    <row r="669">
      <c r="A669" t="n">
        <v>3455</v>
      </c>
      <c r="B669" t="n">
        <v>10454</v>
      </c>
      <c r="C669" t="n">
        <v>59946</v>
      </c>
      <c r="D669" t="n">
        <v>2</v>
      </c>
      <c r="E669">
        <f>HYPERLINK("file:///C:/Users/anye forti/Desktop/2025 FALL/426 COSC/YOLO_TESTING/bbox-snapshots/frame03455_id10454.png", "frame03455_id10454.png")</f>
        <v/>
      </c>
    </row>
    <row r="670">
      <c r="A670" t="n">
        <v>3462</v>
      </c>
      <c r="B670" t="n">
        <v>10347</v>
      </c>
      <c r="C670" t="n">
        <v>50196</v>
      </c>
      <c r="D670" t="n">
        <v>1</v>
      </c>
      <c r="E670">
        <f>HYPERLINK("file:///C:/Users/anye forti/Desktop/2025 FALL/426 COSC/YOLO_TESTING/bbox-snapshots/frame03462_id10347.png", "frame03462_id10347.png")</f>
        <v/>
      </c>
    </row>
    <row r="671">
      <c r="A671" t="n">
        <v>3473</v>
      </c>
      <c r="B671" t="n">
        <v>10397</v>
      </c>
      <c r="C671" t="n">
        <v>43011</v>
      </c>
      <c r="D671" t="n">
        <v>1</v>
      </c>
      <c r="E671">
        <f>HYPERLINK("file:///C:/Users/anye forti/Desktop/2025 FALL/426 COSC/YOLO_TESTING/bbox-snapshots/frame03473_id10397.png", "frame03473_id10397.png")</f>
        <v/>
      </c>
    </row>
    <row r="672">
      <c r="A672" t="n">
        <v>3475</v>
      </c>
      <c r="B672" t="n">
        <v>10487</v>
      </c>
      <c r="C672" t="n">
        <v>47025</v>
      </c>
      <c r="D672" t="n">
        <v>1</v>
      </c>
      <c r="E672">
        <f>HYPERLINK("file:///C:/Users/anye forti/Desktop/2025 FALL/426 COSC/YOLO_TESTING/bbox-snapshots/frame03475_id10487.png", "frame03475_id10487.png")</f>
        <v/>
      </c>
    </row>
    <row r="673">
      <c r="A673" t="n">
        <v>3479</v>
      </c>
      <c r="B673" t="n">
        <v>10500</v>
      </c>
      <c r="C673" t="n">
        <v>56608</v>
      </c>
      <c r="D673" t="n">
        <v>1</v>
      </c>
      <c r="E673">
        <f>HYPERLINK("file:///C:/Users/anye forti/Desktop/2025 FALL/426 COSC/YOLO_TESTING/bbox-snapshots/frame03479_id10500.png", "frame03479_id10500.png")</f>
        <v/>
      </c>
    </row>
    <row r="674">
      <c r="A674" t="n">
        <v>3488</v>
      </c>
      <c r="B674" t="n">
        <v>10515</v>
      </c>
      <c r="C674" t="n">
        <v>60454</v>
      </c>
      <c r="D674" t="n">
        <v>2</v>
      </c>
      <c r="E674">
        <f>HYPERLINK("file:///C:/Users/anye forti/Desktop/2025 FALL/426 COSC/YOLO_TESTING/bbox-snapshots/frame03488_id10515.png", "frame03488_id10515.png")</f>
        <v/>
      </c>
    </row>
    <row r="675">
      <c r="A675" t="n">
        <v>3492</v>
      </c>
      <c r="B675" t="n">
        <v>10537</v>
      </c>
      <c r="C675" t="n">
        <v>50907</v>
      </c>
      <c r="D675" t="n">
        <v>1</v>
      </c>
      <c r="E675">
        <f>HYPERLINK("file:///C:/Users/anye forti/Desktop/2025 FALL/426 COSC/YOLO_TESTING/bbox-snapshots/frame03492_id10537.png", "frame03492_id10537.png")</f>
        <v/>
      </c>
    </row>
    <row r="676">
      <c r="A676" t="n">
        <v>3503</v>
      </c>
      <c r="B676" t="n">
        <v>10577</v>
      </c>
      <c r="C676" t="n">
        <v>36182</v>
      </c>
      <c r="D676" t="n">
        <v>1</v>
      </c>
      <c r="E676">
        <f>HYPERLINK("file:///C:/Users/anye forti/Desktop/2025 FALL/426 COSC/YOLO_TESTING/bbox-snapshots/frame03503_id10577.png", "frame03503_id10577.png")</f>
        <v/>
      </c>
    </row>
    <row r="677">
      <c r="A677" t="n">
        <v>3522</v>
      </c>
      <c r="B677" t="n">
        <v>10611</v>
      </c>
      <c r="C677" t="n">
        <v>32538</v>
      </c>
      <c r="D677" t="n">
        <v>1</v>
      </c>
      <c r="E677">
        <f>HYPERLINK("file:///C:/Users/anye forti/Desktop/2025 FALL/426 COSC/YOLO_TESTING/bbox-snapshots/frame03522_id10611.png", "frame03522_id10611.png")</f>
        <v/>
      </c>
    </row>
    <row r="678">
      <c r="A678" t="n">
        <v>3523</v>
      </c>
      <c r="B678" t="n">
        <v>10620</v>
      </c>
      <c r="C678" t="n">
        <v>42484</v>
      </c>
      <c r="D678" t="n">
        <v>1</v>
      </c>
      <c r="E678">
        <f>HYPERLINK("file:///C:/Users/anye forti/Desktop/2025 FALL/426 COSC/YOLO_TESTING/bbox-snapshots/frame03523_id10620.png", "frame03523_id10620.png")</f>
        <v/>
      </c>
    </row>
    <row r="679">
      <c r="A679" t="n">
        <v>3527</v>
      </c>
      <c r="B679" t="n">
        <v>10647</v>
      </c>
      <c r="C679" t="n">
        <v>47700</v>
      </c>
      <c r="D679" t="n">
        <v>1</v>
      </c>
      <c r="E679">
        <f>HYPERLINK("file:///C:/Users/anye forti/Desktop/2025 FALL/426 COSC/YOLO_TESTING/bbox-snapshots/frame03527_id10647.png", "frame03527_id10647.png")</f>
        <v/>
      </c>
    </row>
    <row r="680">
      <c r="A680" t="n">
        <v>3532</v>
      </c>
      <c r="B680" t="n">
        <v>10669</v>
      </c>
      <c r="C680" t="n">
        <v>35672</v>
      </c>
      <c r="D680" t="n">
        <v>1</v>
      </c>
      <c r="E680">
        <f>HYPERLINK("file:///C:/Users/anye forti/Desktop/2025 FALL/426 COSC/YOLO_TESTING/bbox-snapshots/frame03532_id10669.png", "frame03532_id10669.png")</f>
        <v/>
      </c>
    </row>
    <row r="681">
      <c r="A681" t="n">
        <v>3534</v>
      </c>
      <c r="B681" t="n">
        <v>10668</v>
      </c>
      <c r="C681" t="n">
        <v>43050</v>
      </c>
      <c r="D681" t="n">
        <v>1</v>
      </c>
      <c r="E681">
        <f>HYPERLINK("file:///C:/Users/anye forti/Desktop/2025 FALL/426 COSC/YOLO_TESTING/bbox-snapshots/frame03534_id10668.png", "frame03534_id10668.png")</f>
        <v/>
      </c>
    </row>
    <row r="682">
      <c r="A682" t="n">
        <v>3536</v>
      </c>
      <c r="B682" t="n">
        <v>10656</v>
      </c>
      <c r="C682" t="n">
        <v>50634</v>
      </c>
      <c r="D682" t="n">
        <v>1</v>
      </c>
      <c r="E682">
        <f>HYPERLINK("file:///C:/Users/anye forti/Desktop/2025 FALL/426 COSC/YOLO_TESTING/bbox-snapshots/frame03536_id10656.png", "frame03536_id10656.png")</f>
        <v/>
      </c>
    </row>
    <row r="683">
      <c r="A683" t="n">
        <v>3541</v>
      </c>
      <c r="B683" t="n">
        <v>10689</v>
      </c>
      <c r="C683" t="n">
        <v>74329</v>
      </c>
      <c r="D683" t="n">
        <v>2</v>
      </c>
      <c r="E683">
        <f>HYPERLINK("file:///C:/Users/anye forti/Desktop/2025 FALL/426 COSC/YOLO_TESTING/bbox-snapshots/frame03541_id10689.png", "frame03541_id10689.png")</f>
        <v/>
      </c>
    </row>
    <row r="684">
      <c r="A684" t="n">
        <v>3552</v>
      </c>
      <c r="B684" t="n">
        <v>10717</v>
      </c>
      <c r="C684" t="n">
        <v>44710</v>
      </c>
      <c r="D684" t="n">
        <v>1</v>
      </c>
      <c r="E684">
        <f>HYPERLINK("file:///C:/Users/anye forti/Desktop/2025 FALL/426 COSC/YOLO_TESTING/bbox-snapshots/frame03552_id10717.png", "frame03552_id10717.png")</f>
        <v/>
      </c>
    </row>
    <row r="685">
      <c r="A685" t="n">
        <v>3556</v>
      </c>
      <c r="B685" t="n">
        <v>10731</v>
      </c>
      <c r="C685" t="n">
        <v>56540</v>
      </c>
      <c r="D685" t="n">
        <v>1</v>
      </c>
      <c r="E685">
        <f>HYPERLINK("file:///C:/Users/anye forti/Desktop/2025 FALL/426 COSC/YOLO_TESTING/bbox-snapshots/frame03556_id10731.png", "frame03556_id10731.png")</f>
        <v/>
      </c>
    </row>
    <row r="686">
      <c r="A686" t="n">
        <v>3564</v>
      </c>
      <c r="B686" t="n">
        <v>10654</v>
      </c>
      <c r="C686" t="n">
        <v>42036</v>
      </c>
      <c r="D686" t="n">
        <v>1</v>
      </c>
      <c r="E686">
        <f>HYPERLINK("file:///C:/Users/anye forti/Desktop/2025 FALL/426 COSC/YOLO_TESTING/bbox-snapshots/frame03564_id10654.png", "frame03564_id10654.png")</f>
        <v/>
      </c>
    </row>
    <row r="687">
      <c r="A687" t="n">
        <v>3565</v>
      </c>
      <c r="B687" t="n">
        <v>10765</v>
      </c>
      <c r="C687" t="n">
        <v>25917</v>
      </c>
      <c r="D687" t="n">
        <v>1</v>
      </c>
      <c r="E687">
        <f>HYPERLINK("file:///C:/Users/anye forti/Desktop/2025 FALL/426 COSC/YOLO_TESTING/bbox-snapshots/frame03565_id10765.png", "frame03565_id10765.png")</f>
        <v/>
      </c>
    </row>
    <row r="688">
      <c r="A688" t="n">
        <v>3572</v>
      </c>
      <c r="B688" t="n">
        <v>10817</v>
      </c>
      <c r="C688" t="n">
        <v>56133</v>
      </c>
      <c r="D688" t="n">
        <v>1</v>
      </c>
      <c r="E688">
        <f>HYPERLINK("file:///C:/Users/anye forti/Desktop/2025 FALL/426 COSC/YOLO_TESTING/bbox-snapshots/frame03572_id10817.png", "frame03572_id10817.png")</f>
        <v/>
      </c>
    </row>
    <row r="689">
      <c r="A689" t="n">
        <v>3582</v>
      </c>
      <c r="B689" t="n">
        <v>10810</v>
      </c>
      <c r="C689" t="n">
        <v>26425</v>
      </c>
      <c r="D689" t="n">
        <v>1</v>
      </c>
      <c r="E689">
        <f>HYPERLINK("file:///C:/Users/anye forti/Desktop/2025 FALL/426 COSC/YOLO_TESTING/bbox-snapshots/frame03582_id10810.png", "frame03582_id10810.png")</f>
        <v/>
      </c>
    </row>
    <row r="690">
      <c r="A690" t="n">
        <v>3595</v>
      </c>
      <c r="B690" t="n">
        <v>10832</v>
      </c>
      <c r="C690" t="n">
        <v>41145</v>
      </c>
      <c r="D690" t="n">
        <v>1</v>
      </c>
      <c r="E690">
        <f>HYPERLINK("file:///C:/Users/anye forti/Desktop/2025 FALL/426 COSC/YOLO_TESTING/bbox-snapshots/frame03595_id10832.png", "frame03595_id10832.png")</f>
        <v/>
      </c>
    </row>
    <row r="691">
      <c r="A691" t="n">
        <v>3598</v>
      </c>
      <c r="B691" t="n">
        <v>10877</v>
      </c>
      <c r="C691" t="n">
        <v>23296</v>
      </c>
      <c r="D691" t="n">
        <v>1</v>
      </c>
      <c r="E691">
        <f>HYPERLINK("file:///C:/Users/anye forti/Desktop/2025 FALL/426 COSC/YOLO_TESTING/bbox-snapshots/frame03598_id10877.png", "frame03598_id10877.png")</f>
        <v/>
      </c>
    </row>
    <row r="692">
      <c r="A692" t="n">
        <v>3599</v>
      </c>
      <c r="B692" t="n">
        <v>10798</v>
      </c>
      <c r="C692" t="n">
        <v>48300</v>
      </c>
      <c r="D692" t="n">
        <v>1</v>
      </c>
      <c r="E692">
        <f>HYPERLINK("file:///C:/Users/anye forti/Desktop/2025 FALL/426 COSC/YOLO_TESTING/bbox-snapshots/frame03599_id10798.png", "frame03599_id10798.png")</f>
        <v/>
      </c>
    </row>
    <row r="693">
      <c r="A693" t="n">
        <v>3606</v>
      </c>
      <c r="B693" t="n">
        <v>10839</v>
      </c>
      <c r="C693" t="n">
        <v>35611</v>
      </c>
      <c r="D693" t="n">
        <v>1</v>
      </c>
      <c r="E693">
        <f>HYPERLINK("file:///C:/Users/anye forti/Desktop/2025 FALL/426 COSC/YOLO_TESTING/bbox-snapshots/frame03606_id10839.png", "frame03606_id10839.png")</f>
        <v/>
      </c>
    </row>
    <row r="694">
      <c r="A694" t="n">
        <v>3607</v>
      </c>
      <c r="B694" t="n">
        <v>10837</v>
      </c>
      <c r="C694" t="n">
        <v>72380</v>
      </c>
      <c r="D694" t="n">
        <v>2</v>
      </c>
      <c r="E694">
        <f>HYPERLINK("file:///C:/Users/anye forti/Desktop/2025 FALL/426 COSC/YOLO_TESTING/bbox-snapshots/frame03607_id10837.png", "frame03607_id10837.png")</f>
        <v/>
      </c>
    </row>
    <row r="695">
      <c r="A695" t="n">
        <v>3625</v>
      </c>
      <c r="B695" t="n">
        <v>10893</v>
      </c>
      <c r="C695" t="n">
        <v>59607</v>
      </c>
      <c r="D695" t="n">
        <v>2</v>
      </c>
      <c r="E695">
        <f>HYPERLINK("file:///C:/Users/anye forti/Desktop/2025 FALL/426 COSC/YOLO_TESTING/bbox-snapshots/frame03625_id10893.png", "frame03625_id10893.png")</f>
        <v/>
      </c>
    </row>
    <row r="696">
      <c r="A696" t="n">
        <v>3645</v>
      </c>
      <c r="B696" t="n">
        <v>10924</v>
      </c>
      <c r="C696" t="n">
        <v>32400</v>
      </c>
      <c r="D696" t="n">
        <v>1</v>
      </c>
      <c r="E696">
        <f>HYPERLINK("file:///C:/Users/anye forti/Desktop/2025 FALL/426 COSC/YOLO_TESTING/bbox-snapshots/frame03645_id10924.png", "frame03645_id10924.png")</f>
        <v/>
      </c>
    </row>
    <row r="697">
      <c r="A697" t="n">
        <v>3659</v>
      </c>
      <c r="B697" t="n">
        <v>10941</v>
      </c>
      <c r="C697" t="n">
        <v>31132</v>
      </c>
      <c r="D697" t="n">
        <v>1</v>
      </c>
      <c r="E697">
        <f>HYPERLINK("file:///C:/Users/anye forti/Desktop/2025 FALL/426 COSC/YOLO_TESTING/bbox-snapshots/frame03659_id10941.png", "frame03659_id10941.png")</f>
        <v/>
      </c>
    </row>
    <row r="698">
      <c r="A698" t="n">
        <v>3671</v>
      </c>
      <c r="B698" t="n">
        <v>10961</v>
      </c>
      <c r="C698" t="n">
        <v>96428</v>
      </c>
      <c r="D698" t="n">
        <v>2</v>
      </c>
      <c r="E698">
        <f>HYPERLINK("file:///C:/Users/anye forti/Desktop/2025 FALL/426 COSC/YOLO_TESTING/bbox-snapshots/frame03671_id10961.png", "frame03671_id10961.png")</f>
        <v/>
      </c>
    </row>
    <row r="699">
      <c r="A699" t="n">
        <v>3677</v>
      </c>
      <c r="B699" t="n">
        <v>10966</v>
      </c>
      <c r="C699" t="n">
        <v>40152</v>
      </c>
      <c r="D699" t="n">
        <v>1</v>
      </c>
      <c r="E699">
        <f>HYPERLINK("file:///C:/Users/anye forti/Desktop/2025 FALL/426 COSC/YOLO_TESTING/bbox-snapshots/frame03677_id10966.png", "frame03677_id10966.png")</f>
        <v/>
      </c>
    </row>
    <row r="700">
      <c r="A700" t="n">
        <v>3681</v>
      </c>
      <c r="B700" t="n">
        <v>10968</v>
      </c>
      <c r="C700" t="n">
        <v>83300</v>
      </c>
      <c r="D700" t="n">
        <v>2</v>
      </c>
      <c r="E700">
        <f>HYPERLINK("file:///C:/Users/anye forti/Desktop/2025 FALL/426 COSC/YOLO_TESTING/bbox-snapshots/frame03681_id10968.png", "frame03681_id10968.png")</f>
        <v/>
      </c>
    </row>
    <row r="701">
      <c r="A701" t="n">
        <v>3685</v>
      </c>
      <c r="B701" t="n">
        <v>10985</v>
      </c>
      <c r="C701" t="n">
        <v>33630</v>
      </c>
      <c r="D701" t="n">
        <v>1</v>
      </c>
      <c r="E701">
        <f>HYPERLINK("file:///C:/Users/anye forti/Desktop/2025 FALL/426 COSC/YOLO_TESTING/bbox-snapshots/frame03685_id10985.png", "frame03685_id10985.png")</f>
        <v/>
      </c>
    </row>
    <row r="702">
      <c r="A702" t="n">
        <v>3693</v>
      </c>
      <c r="B702" t="n">
        <v>10974</v>
      </c>
      <c r="C702" t="n">
        <v>33115</v>
      </c>
      <c r="D702" t="n">
        <v>1</v>
      </c>
      <c r="E702">
        <f>HYPERLINK("file:///C:/Users/anye forti/Desktop/2025 FALL/426 COSC/YOLO_TESTING/bbox-snapshots/frame03693_id10974.png", "frame03693_id10974.png")</f>
        <v/>
      </c>
    </row>
    <row r="703">
      <c r="A703" t="n">
        <v>3694</v>
      </c>
      <c r="B703" t="n">
        <v>10997</v>
      </c>
      <c r="C703" t="n">
        <v>28036</v>
      </c>
      <c r="D703" t="n">
        <v>1</v>
      </c>
      <c r="E703">
        <f>HYPERLINK("file:///C:/Users/anye forti/Desktop/2025 FALL/426 COSC/YOLO_TESTING/bbox-snapshots/frame03694_id10997.png", "frame03694_id10997.png")</f>
        <v/>
      </c>
    </row>
    <row r="704">
      <c r="A704" t="n">
        <v>3718</v>
      </c>
      <c r="B704" t="n">
        <v>11028</v>
      </c>
      <c r="C704" t="n">
        <v>55120</v>
      </c>
      <c r="D704" t="n">
        <v>1</v>
      </c>
      <c r="E704">
        <f>HYPERLINK("file:///C:/Users/anye forti/Desktop/2025 FALL/426 COSC/YOLO_TESTING/bbox-snapshots/frame03718_id11028.png", "frame03718_id11028.png")</f>
        <v/>
      </c>
    </row>
    <row r="705">
      <c r="A705" t="n">
        <v>3721</v>
      </c>
      <c r="B705" t="n">
        <v>11039</v>
      </c>
      <c r="C705" t="n">
        <v>23088</v>
      </c>
      <c r="D705" t="n">
        <v>1</v>
      </c>
      <c r="E705">
        <f>HYPERLINK("file:///C:/Users/anye forti/Desktop/2025 FALL/426 COSC/YOLO_TESTING/bbox-snapshots/frame03721_id11039.png", "frame03721_id11039.png")</f>
        <v/>
      </c>
    </row>
    <row r="706">
      <c r="A706" t="n">
        <v>3727</v>
      </c>
      <c r="B706" t="n">
        <v>11049</v>
      </c>
      <c r="C706" t="n">
        <v>33389</v>
      </c>
      <c r="D706" t="n">
        <v>1</v>
      </c>
      <c r="E706">
        <f>HYPERLINK("file:///C:/Users/anye forti/Desktop/2025 FALL/426 COSC/YOLO_TESTING/bbox-snapshots/frame03727_id11049.png", "frame03727_id11049.png")</f>
        <v/>
      </c>
    </row>
    <row r="707">
      <c r="A707" t="n">
        <v>3731</v>
      </c>
      <c r="B707" t="n">
        <v>11068</v>
      </c>
      <c r="C707" t="n">
        <v>47214</v>
      </c>
      <c r="D707" t="n">
        <v>1</v>
      </c>
      <c r="E707">
        <f>HYPERLINK("file:///C:/Users/anye forti/Desktop/2025 FALL/426 COSC/YOLO_TESTING/bbox-snapshots/frame03731_id11068.png", "frame03731_id11068.png")</f>
        <v/>
      </c>
    </row>
    <row r="708">
      <c r="A708" t="n">
        <v>3737</v>
      </c>
      <c r="B708" t="n">
        <v>11121</v>
      </c>
      <c r="C708" t="n">
        <v>24375</v>
      </c>
      <c r="D708" t="n">
        <v>1</v>
      </c>
      <c r="E708">
        <f>HYPERLINK("file:///C:/Users/anye forti/Desktop/2025 FALL/426 COSC/YOLO_TESTING/bbox-snapshots/frame03737_id11121.png", "frame03737_id11121.png")</f>
        <v/>
      </c>
    </row>
    <row r="709">
      <c r="A709" t="n">
        <v>3738</v>
      </c>
      <c r="B709" t="n">
        <v>11085</v>
      </c>
      <c r="C709" t="n">
        <v>46604</v>
      </c>
      <c r="D709" t="n">
        <v>1</v>
      </c>
      <c r="E709">
        <f>HYPERLINK("file:///C:/Users/anye forti/Desktop/2025 FALL/426 COSC/YOLO_TESTING/bbox-snapshots/frame03738_id11085.png", "frame03738_id11085.png")</f>
        <v/>
      </c>
    </row>
    <row r="710">
      <c r="A710" t="n">
        <v>3738</v>
      </c>
      <c r="B710" t="n">
        <v>11149</v>
      </c>
      <c r="C710" t="n">
        <v>16482</v>
      </c>
      <c r="D710" t="n">
        <v>1</v>
      </c>
      <c r="E710">
        <f>HYPERLINK("file:///C:/Users/anye forti/Desktop/2025 FALL/426 COSC/YOLO_TESTING/bbox-snapshots/frame03738_id11149.png", "frame03738_id11149.png")</f>
        <v/>
      </c>
    </row>
    <row r="711">
      <c r="A711" t="n">
        <v>3743</v>
      </c>
      <c r="B711" t="n">
        <v>11111</v>
      </c>
      <c r="C711" t="n">
        <v>30972</v>
      </c>
      <c r="D711" t="n">
        <v>1</v>
      </c>
      <c r="E711">
        <f>HYPERLINK("file:///C:/Users/anye forti/Desktop/2025 FALL/426 COSC/YOLO_TESTING/bbox-snapshots/frame03743_id11111.png", "frame03743_id11111.png")</f>
        <v/>
      </c>
    </row>
    <row r="712">
      <c r="A712" t="n">
        <v>3745</v>
      </c>
      <c r="B712" t="n">
        <v>11093</v>
      </c>
      <c r="C712" t="n">
        <v>46956</v>
      </c>
      <c r="D712" t="n">
        <v>1</v>
      </c>
      <c r="E712">
        <f>HYPERLINK("file:///C:/Users/anye forti/Desktop/2025 FALL/426 COSC/YOLO_TESTING/bbox-snapshots/frame03745_id11093.png", "frame03745_id11093.png")</f>
        <v/>
      </c>
    </row>
    <row r="713">
      <c r="A713" t="n">
        <v>3748</v>
      </c>
      <c r="B713" t="n">
        <v>11139</v>
      </c>
      <c r="C713" t="n">
        <v>46612</v>
      </c>
      <c r="D713" t="n">
        <v>1</v>
      </c>
      <c r="E713">
        <f>HYPERLINK("file:///C:/Users/anye forti/Desktop/2025 FALL/426 COSC/YOLO_TESTING/bbox-snapshots/frame03748_id11139.png", "frame03748_id11139.png")</f>
        <v/>
      </c>
    </row>
    <row r="714">
      <c r="A714" t="n">
        <v>3750</v>
      </c>
      <c r="B714" t="n">
        <v>11168</v>
      </c>
      <c r="C714" t="n">
        <v>22330</v>
      </c>
      <c r="D714" t="n">
        <v>1</v>
      </c>
      <c r="E714">
        <f>HYPERLINK("file:///C:/Users/anye forti/Desktop/2025 FALL/426 COSC/YOLO_TESTING/bbox-snapshots/frame03750_id11168.png", "frame03750_id11168.png")</f>
        <v/>
      </c>
    </row>
    <row r="715">
      <c r="A715" t="n">
        <v>3750</v>
      </c>
      <c r="B715" t="n">
        <v>11138</v>
      </c>
      <c r="C715" t="n">
        <v>58123</v>
      </c>
      <c r="D715" t="n">
        <v>1</v>
      </c>
      <c r="E715">
        <f>HYPERLINK("file:///C:/Users/anye forti/Desktop/2025 FALL/426 COSC/YOLO_TESTING/bbox-snapshots/frame03750_id11138.png", "frame03750_id11138.png")</f>
        <v/>
      </c>
    </row>
    <row r="716">
      <c r="A716" t="n">
        <v>3764</v>
      </c>
      <c r="B716" t="n">
        <v>11203</v>
      </c>
      <c r="C716" t="n">
        <v>30654</v>
      </c>
      <c r="D716" t="n">
        <v>1</v>
      </c>
      <c r="E716">
        <f>HYPERLINK("file:///C:/Users/anye forti/Desktop/2025 FALL/426 COSC/YOLO_TESTING/bbox-snapshots/frame03764_id11203.png", "frame03764_id11203.png")</f>
        <v/>
      </c>
    </row>
    <row r="717">
      <c r="A717" t="n">
        <v>3769</v>
      </c>
      <c r="B717" t="n">
        <v>11215</v>
      </c>
      <c r="C717" t="n">
        <v>56496</v>
      </c>
      <c r="D717" t="n">
        <v>1</v>
      </c>
      <c r="E717">
        <f>HYPERLINK("file:///C:/Users/anye forti/Desktop/2025 FALL/426 COSC/YOLO_TESTING/bbox-snapshots/frame03769_id11215.png", "frame03769_id11215.png")</f>
        <v/>
      </c>
    </row>
    <row r="718">
      <c r="A718" t="n">
        <v>3771</v>
      </c>
      <c r="B718" t="n">
        <v>11227</v>
      </c>
      <c r="C718" t="n">
        <v>41736</v>
      </c>
      <c r="D718" t="n">
        <v>1</v>
      </c>
      <c r="E718">
        <f>HYPERLINK("file:///C:/Users/anye forti/Desktop/2025 FALL/426 COSC/YOLO_TESTING/bbox-snapshots/frame03771_id11227.png", "frame03771_id11227.png")</f>
        <v/>
      </c>
    </row>
    <row r="719">
      <c r="A719" t="n">
        <v>3786</v>
      </c>
      <c r="B719" t="n">
        <v>11260</v>
      </c>
      <c r="C719" t="n">
        <v>57378</v>
      </c>
      <c r="D719" t="n">
        <v>1</v>
      </c>
      <c r="E719">
        <f>HYPERLINK("file:///C:/Users/anye forti/Desktop/2025 FALL/426 COSC/YOLO_TESTING/bbox-snapshots/frame03786_id11260.png", "frame03786_id11260.png")</f>
        <v/>
      </c>
    </row>
    <row r="720">
      <c r="A720" t="n">
        <v>3788</v>
      </c>
      <c r="B720" t="n">
        <v>11292</v>
      </c>
      <c r="C720" t="n">
        <v>43925</v>
      </c>
      <c r="D720" t="n">
        <v>1</v>
      </c>
      <c r="E720">
        <f>HYPERLINK("file:///C:/Users/anye forti/Desktop/2025 FALL/426 COSC/YOLO_TESTING/bbox-snapshots/frame03788_id11292.png", "frame03788_id11292.png")</f>
        <v/>
      </c>
    </row>
    <row r="721">
      <c r="A721" t="n">
        <v>3790</v>
      </c>
      <c r="B721" t="n">
        <v>11291</v>
      </c>
      <c r="C721" t="n">
        <v>48321</v>
      </c>
      <c r="D721" t="n">
        <v>1</v>
      </c>
      <c r="E721">
        <f>HYPERLINK("file:///C:/Users/anye forti/Desktop/2025 FALL/426 COSC/YOLO_TESTING/bbox-snapshots/frame03790_id11291.png", "frame03790_id11291.png")</f>
        <v/>
      </c>
    </row>
    <row r="722">
      <c r="A722" t="n">
        <v>3807</v>
      </c>
      <c r="B722" t="n">
        <v>11316</v>
      </c>
      <c r="C722" t="n">
        <v>41811</v>
      </c>
      <c r="D722" t="n">
        <v>1</v>
      </c>
      <c r="E722">
        <f>HYPERLINK("file:///C:/Users/anye forti/Desktop/2025 FALL/426 COSC/YOLO_TESTING/bbox-snapshots/frame03807_id11316.png", "frame03807_id11316.png")</f>
        <v/>
      </c>
    </row>
    <row r="723">
      <c r="A723" t="n">
        <v>3814</v>
      </c>
      <c r="B723" t="n">
        <v>11408</v>
      </c>
      <c r="C723" t="n">
        <v>37030</v>
      </c>
      <c r="D723" t="n">
        <v>1</v>
      </c>
      <c r="E723">
        <f>HYPERLINK("file:///C:/Users/anye forti/Desktop/2025 FALL/426 COSC/YOLO_TESTING/bbox-snapshots/frame03814_id11408.png", "frame03814_id11408.png")</f>
        <v/>
      </c>
    </row>
    <row r="724">
      <c r="A724" t="n">
        <v>3817</v>
      </c>
      <c r="B724" t="n">
        <v>11370</v>
      </c>
      <c r="C724" t="n">
        <v>49887</v>
      </c>
      <c r="D724" t="n">
        <v>1</v>
      </c>
      <c r="E724">
        <f>HYPERLINK("file:///C:/Users/anye forti/Desktop/2025 FALL/426 COSC/YOLO_TESTING/bbox-snapshots/frame03817_id11370.png", "frame03817_id11370.png")</f>
        <v/>
      </c>
    </row>
    <row r="725">
      <c r="A725" t="n">
        <v>3823</v>
      </c>
      <c r="B725" t="n">
        <v>11394</v>
      </c>
      <c r="C725" t="n">
        <v>39600</v>
      </c>
      <c r="D725" t="n">
        <v>1</v>
      </c>
      <c r="E725">
        <f>HYPERLINK("file:///C:/Users/anye forti/Desktop/2025 FALL/426 COSC/YOLO_TESTING/bbox-snapshots/frame03823_id11394.png", "frame03823_id11394.png")</f>
        <v/>
      </c>
    </row>
    <row r="726">
      <c r="A726" t="n">
        <v>3828</v>
      </c>
      <c r="B726" t="n">
        <v>11405</v>
      </c>
      <c r="C726" t="n">
        <v>49530</v>
      </c>
      <c r="D726" t="n">
        <v>1</v>
      </c>
      <c r="E726">
        <f>HYPERLINK("file:///C:/Users/anye forti/Desktop/2025 FALL/426 COSC/YOLO_TESTING/bbox-snapshots/frame03828_id11405.png", "frame03828_id11405.png")</f>
        <v/>
      </c>
    </row>
    <row r="727">
      <c r="A727" t="n">
        <v>3839</v>
      </c>
      <c r="B727" t="n">
        <v>11421</v>
      </c>
      <c r="C727" t="n">
        <v>47880</v>
      </c>
      <c r="D727" t="n">
        <v>1</v>
      </c>
      <c r="E727">
        <f>HYPERLINK("file:///C:/Users/anye forti/Desktop/2025 FALL/426 COSC/YOLO_TESTING/bbox-snapshots/frame03839_id11421.png", "frame03839_id11421.png")</f>
        <v/>
      </c>
    </row>
    <row r="728">
      <c r="A728" t="n">
        <v>3840</v>
      </c>
      <c r="B728" t="n">
        <v>11426</v>
      </c>
      <c r="C728" t="n">
        <v>48636</v>
      </c>
      <c r="D728" t="n">
        <v>1</v>
      </c>
      <c r="E728">
        <f>HYPERLINK("file:///C:/Users/anye forti/Desktop/2025 FALL/426 COSC/YOLO_TESTING/bbox-snapshots/frame03840_id11426.png", "frame03840_id11426.png")</f>
        <v/>
      </c>
    </row>
    <row r="729">
      <c r="A729" t="n">
        <v>3851</v>
      </c>
      <c r="B729" t="n">
        <v>11456</v>
      </c>
      <c r="C729" t="n">
        <v>46500</v>
      </c>
      <c r="D729" t="n">
        <v>1</v>
      </c>
      <c r="E729">
        <f>HYPERLINK("file:///C:/Users/anye forti/Desktop/2025 FALL/426 COSC/YOLO_TESTING/bbox-snapshots/frame03851_id11456.png", "frame03851_id11456.png")</f>
        <v/>
      </c>
    </row>
    <row r="730">
      <c r="A730" t="n">
        <v>3852</v>
      </c>
      <c r="B730" t="n">
        <v>11461</v>
      </c>
      <c r="C730" t="n">
        <v>46636</v>
      </c>
      <c r="D730" t="n">
        <v>1</v>
      </c>
      <c r="E730">
        <f>HYPERLINK("file:///C:/Users/anye forti/Desktop/2025 FALL/426 COSC/YOLO_TESTING/bbox-snapshots/frame03852_id11461.png", "frame03852_id11461.png")</f>
        <v/>
      </c>
    </row>
    <row r="731">
      <c r="A731" t="n">
        <v>3864</v>
      </c>
      <c r="B731" t="n">
        <v>11472</v>
      </c>
      <c r="C731" t="n">
        <v>43845</v>
      </c>
      <c r="D731" t="n">
        <v>1</v>
      </c>
      <c r="E731">
        <f>HYPERLINK("file:///C:/Users/anye forti/Desktop/2025 FALL/426 COSC/YOLO_TESTING/bbox-snapshots/frame03864_id11472.png", "frame03864_id11472.png")</f>
        <v/>
      </c>
    </row>
    <row r="732">
      <c r="A732" t="n">
        <v>3864</v>
      </c>
      <c r="B732" t="n">
        <v>11477</v>
      </c>
      <c r="C732" t="n">
        <v>55521</v>
      </c>
      <c r="D732" t="n">
        <v>1</v>
      </c>
      <c r="E732">
        <f>HYPERLINK("file:///C:/Users/anye forti/Desktop/2025 FALL/426 COSC/YOLO_TESTING/bbox-snapshots/frame03864_id11477.png", "frame03864_id11477.png")</f>
        <v/>
      </c>
    </row>
    <row r="733">
      <c r="A733" t="n">
        <v>3865</v>
      </c>
      <c r="B733" t="n">
        <v>11481</v>
      </c>
      <c r="C733" t="n">
        <v>39904</v>
      </c>
      <c r="D733" t="n">
        <v>1</v>
      </c>
      <c r="E733">
        <f>HYPERLINK("file:///C:/Users/anye forti/Desktop/2025 FALL/426 COSC/YOLO_TESTING/bbox-snapshots/frame03865_id11481.png", "frame03865_id11481.png")</f>
        <v/>
      </c>
    </row>
    <row r="734">
      <c r="A734" t="n">
        <v>3875</v>
      </c>
      <c r="B734" t="n">
        <v>11502</v>
      </c>
      <c r="C734" t="n">
        <v>36462</v>
      </c>
      <c r="D734" t="n">
        <v>1</v>
      </c>
      <c r="E734">
        <f>HYPERLINK("file:///C:/Users/anye forti/Desktop/2025 FALL/426 COSC/YOLO_TESTING/bbox-snapshots/frame03875_id11502.png", "frame03875_id11502.png")</f>
        <v/>
      </c>
    </row>
    <row r="735">
      <c r="A735" t="n">
        <v>3876</v>
      </c>
      <c r="B735" t="n">
        <v>11493</v>
      </c>
      <c r="C735" t="n">
        <v>69628</v>
      </c>
      <c r="D735" t="n">
        <v>2</v>
      </c>
      <c r="E735">
        <f>HYPERLINK("file:///C:/Users/anye forti/Desktop/2025 FALL/426 COSC/YOLO_TESTING/bbox-snapshots/frame03876_id11493.png", "frame03876_id11493.png")</f>
        <v/>
      </c>
    </row>
    <row r="736">
      <c r="A736" t="n">
        <v>3881</v>
      </c>
      <c r="B736" t="n">
        <v>11525</v>
      </c>
      <c r="C736" t="n">
        <v>38220</v>
      </c>
      <c r="D736" t="n">
        <v>1</v>
      </c>
      <c r="E736">
        <f>HYPERLINK("file:///C:/Users/anye forti/Desktop/2025 FALL/426 COSC/YOLO_TESTING/bbox-snapshots/frame03881_id11525.png", "frame03881_id11525.png")</f>
        <v/>
      </c>
    </row>
    <row r="737">
      <c r="A737" t="n">
        <v>3883</v>
      </c>
      <c r="B737" t="n">
        <v>11509</v>
      </c>
      <c r="C737" t="n">
        <v>54340</v>
      </c>
      <c r="D737" t="n">
        <v>1</v>
      </c>
      <c r="E737">
        <f>HYPERLINK("file:///C:/Users/anye forti/Desktop/2025 FALL/426 COSC/YOLO_TESTING/bbox-snapshots/frame03883_id11509.png", "frame03883_id11509.png")</f>
        <v/>
      </c>
    </row>
    <row r="738">
      <c r="A738" t="n">
        <v>3890</v>
      </c>
      <c r="B738" t="n">
        <v>11548</v>
      </c>
      <c r="C738" t="n">
        <v>40368</v>
      </c>
      <c r="D738" t="n">
        <v>1</v>
      </c>
      <c r="E738">
        <f>HYPERLINK("file:///C:/Users/anye forti/Desktop/2025 FALL/426 COSC/YOLO_TESTING/bbox-snapshots/frame03890_id11548.png", "frame03890_id11548.png")</f>
        <v/>
      </c>
    </row>
    <row r="739">
      <c r="A739" t="n">
        <v>3901</v>
      </c>
      <c r="B739" t="n">
        <v>11582</v>
      </c>
      <c r="C739" t="n">
        <v>40356</v>
      </c>
      <c r="D739" t="n">
        <v>1</v>
      </c>
      <c r="E739">
        <f>HYPERLINK("file:///C:/Users/anye forti/Desktop/2025 FALL/426 COSC/YOLO_TESTING/bbox-snapshots/frame03901_id11582.png", "frame03901_id11582.png")</f>
        <v/>
      </c>
    </row>
    <row r="740">
      <c r="A740" t="n">
        <v>3902</v>
      </c>
      <c r="B740" t="n">
        <v>11594</v>
      </c>
      <c r="C740" t="n">
        <v>40582</v>
      </c>
      <c r="D740" t="n">
        <v>1</v>
      </c>
      <c r="E740">
        <f>HYPERLINK("file:///C:/Users/anye forti/Desktop/2025 FALL/426 COSC/YOLO_TESTING/bbox-snapshots/frame03902_id11594.png", "frame03902_id11594.png")</f>
        <v/>
      </c>
    </row>
    <row r="741">
      <c r="A741" t="n">
        <v>3910</v>
      </c>
      <c r="B741" t="n">
        <v>11598</v>
      </c>
      <c r="C741" t="n">
        <v>25752</v>
      </c>
      <c r="D741" t="n">
        <v>1</v>
      </c>
      <c r="E741">
        <f>HYPERLINK("file:///C:/Users/anye forti/Desktop/2025 FALL/426 COSC/YOLO_TESTING/bbox-snapshots/frame03910_id11598.png", "frame03910_id11598.png")</f>
        <v/>
      </c>
    </row>
    <row r="742">
      <c r="A742" t="n">
        <v>3912</v>
      </c>
      <c r="B742" t="n">
        <v>11645</v>
      </c>
      <c r="C742" t="n">
        <v>42558</v>
      </c>
      <c r="D742" t="n">
        <v>1</v>
      </c>
      <c r="E742">
        <f>HYPERLINK("file:///C:/Users/anye forti/Desktop/2025 FALL/426 COSC/YOLO_TESTING/bbox-snapshots/frame03912_id11645.png", "frame03912_id11645.png")</f>
        <v/>
      </c>
    </row>
    <row r="743">
      <c r="A743" t="n">
        <v>3912</v>
      </c>
      <c r="B743" t="n">
        <v>11683</v>
      </c>
      <c r="C743" t="n">
        <v>37411</v>
      </c>
      <c r="D743" t="n">
        <v>1</v>
      </c>
      <c r="E743">
        <f>HYPERLINK("file:///C:/Users/anye forti/Desktop/2025 FALL/426 COSC/YOLO_TESTING/bbox-snapshots/frame03912_id11683.png", "frame03912_id11683.png")</f>
        <v/>
      </c>
    </row>
    <row r="744">
      <c r="A744" t="n">
        <v>3915</v>
      </c>
      <c r="B744" t="n">
        <v>11617</v>
      </c>
      <c r="C744" t="n">
        <v>60610</v>
      </c>
      <c r="D744" t="n">
        <v>2</v>
      </c>
      <c r="E744">
        <f>HYPERLINK("file:///C:/Users/anye forti/Desktop/2025 FALL/426 COSC/YOLO_TESTING/bbox-snapshots/frame03915_id11617.png", "frame03915_id11617.png")</f>
        <v/>
      </c>
    </row>
    <row r="745">
      <c r="A745" t="n">
        <v>3916</v>
      </c>
      <c r="B745" t="n">
        <v>11629</v>
      </c>
      <c r="C745" t="n">
        <v>15750</v>
      </c>
      <c r="D745" t="n">
        <v>1</v>
      </c>
      <c r="E745">
        <f>HYPERLINK("file:///C:/Users/anye forti/Desktop/2025 FALL/426 COSC/YOLO_TESTING/bbox-snapshots/frame03916_id11629.png", "frame03916_id11629.png")</f>
        <v/>
      </c>
    </row>
    <row r="746">
      <c r="A746" t="n">
        <v>3929</v>
      </c>
      <c r="B746" t="n">
        <v>11682</v>
      </c>
      <c r="C746" t="n">
        <v>43052</v>
      </c>
      <c r="D746" t="n">
        <v>1</v>
      </c>
      <c r="E746">
        <f>HYPERLINK("file:///C:/Users/anye forti/Desktop/2025 FALL/426 COSC/YOLO_TESTING/bbox-snapshots/frame03929_id11682.png", "frame03929_id11682.png")</f>
        <v/>
      </c>
    </row>
    <row r="747">
      <c r="A747" t="n">
        <v>3940</v>
      </c>
      <c r="B747" t="n">
        <v>11706</v>
      </c>
      <c r="C747" t="n">
        <v>35657</v>
      </c>
      <c r="D747" t="n">
        <v>1</v>
      </c>
      <c r="E747">
        <f>HYPERLINK("file:///C:/Users/anye forti/Desktop/2025 FALL/426 COSC/YOLO_TESTING/bbox-snapshots/frame03940_id11706.png", "frame03940_id11706.png")</f>
        <v/>
      </c>
    </row>
    <row r="748">
      <c r="A748" t="n">
        <v>3948</v>
      </c>
      <c r="B748" t="n">
        <v>11725</v>
      </c>
      <c r="C748" t="n">
        <v>54119</v>
      </c>
      <c r="D748" t="n">
        <v>1</v>
      </c>
      <c r="E748">
        <f>HYPERLINK("file:///C:/Users/anye forti/Desktop/2025 FALL/426 COSC/YOLO_TESTING/bbox-snapshots/frame03948_id11725.png", "frame03948_id11725.png")</f>
        <v/>
      </c>
    </row>
    <row r="749">
      <c r="A749" t="n">
        <v>3953</v>
      </c>
      <c r="B749" t="n">
        <v>11745</v>
      </c>
      <c r="C749" t="n">
        <v>54372</v>
      </c>
      <c r="D749" t="n">
        <v>1</v>
      </c>
      <c r="E749">
        <f>HYPERLINK("file:///C:/Users/anye forti/Desktop/2025 FALL/426 COSC/YOLO_TESTING/bbox-snapshots/frame03953_id11745.png", "frame03953_id11745.png")</f>
        <v/>
      </c>
    </row>
    <row r="750">
      <c r="A750" t="n">
        <v>3953</v>
      </c>
      <c r="B750" t="n">
        <v>11748</v>
      </c>
      <c r="C750" t="n">
        <v>35815</v>
      </c>
      <c r="D750" t="n">
        <v>1</v>
      </c>
      <c r="E750">
        <f>HYPERLINK("file:///C:/Users/anye forti/Desktop/2025 FALL/426 COSC/YOLO_TESTING/bbox-snapshots/frame03953_id11748.png", "frame03953_id11748.png")</f>
        <v/>
      </c>
    </row>
    <row r="751">
      <c r="A751" t="n">
        <v>3963</v>
      </c>
      <c r="B751" t="n">
        <v>11795</v>
      </c>
      <c r="C751" t="n">
        <v>59296</v>
      </c>
      <c r="D751" t="n">
        <v>1</v>
      </c>
      <c r="E751">
        <f>HYPERLINK("file:///C:/Users/anye forti/Desktop/2025 FALL/426 COSC/YOLO_TESTING/bbox-snapshots/frame03963_id11795.png", "frame03963_id11795.png")</f>
        <v/>
      </c>
    </row>
    <row r="752">
      <c r="A752" t="n">
        <v>3969</v>
      </c>
      <c r="B752" t="n">
        <v>11796</v>
      </c>
      <c r="C752" t="n">
        <v>68096</v>
      </c>
      <c r="D752" t="n">
        <v>2</v>
      </c>
      <c r="E752">
        <f>HYPERLINK("file:///C:/Users/anye forti/Desktop/2025 FALL/426 COSC/YOLO_TESTING/bbox-snapshots/frame03969_id11796.png", "frame03969_id11796.png")</f>
        <v/>
      </c>
    </row>
    <row r="753">
      <c r="A753" t="n">
        <v>3989</v>
      </c>
      <c r="B753" t="n">
        <v>11828</v>
      </c>
      <c r="C753" t="n">
        <v>55970</v>
      </c>
      <c r="D753" t="n">
        <v>1</v>
      </c>
      <c r="E753">
        <f>HYPERLINK("file:///C:/Users/anye forti/Desktop/2025 FALL/426 COSC/YOLO_TESTING/bbox-snapshots/frame03989_id11828.png", "frame03989_id11828.png")</f>
        <v/>
      </c>
    </row>
    <row r="754">
      <c r="A754" t="n">
        <v>4001</v>
      </c>
      <c r="B754" t="n">
        <v>11853</v>
      </c>
      <c r="C754" t="n">
        <v>49750</v>
      </c>
      <c r="D754" t="n">
        <v>1</v>
      </c>
      <c r="E754">
        <f>HYPERLINK("file:///C:/Users/anye forti/Desktop/2025 FALL/426 COSC/YOLO_TESTING/bbox-snapshots/frame04001_id11853.png", "frame04001_id11853.png")</f>
        <v/>
      </c>
    </row>
    <row r="755">
      <c r="A755" t="n">
        <v>4012</v>
      </c>
      <c r="B755" t="n">
        <v>11872</v>
      </c>
      <c r="C755" t="n">
        <v>34230</v>
      </c>
      <c r="D755" t="n">
        <v>1</v>
      </c>
      <c r="E755">
        <f>HYPERLINK("file:///C:/Users/anye forti/Desktop/2025 FALL/426 COSC/YOLO_TESTING/bbox-snapshots/frame04012_id11872.png", "frame04012_id11872.png")</f>
        <v/>
      </c>
    </row>
    <row r="756">
      <c r="A756" t="n">
        <v>4015</v>
      </c>
      <c r="B756" t="n">
        <v>11877</v>
      </c>
      <c r="C756" t="n">
        <v>38793</v>
      </c>
      <c r="D756" t="n">
        <v>1</v>
      </c>
      <c r="E756">
        <f>HYPERLINK("file:///C:/Users/anye forti/Desktop/2025 FALL/426 COSC/YOLO_TESTING/bbox-snapshots/frame04015_id11877.png", "frame04015_id11877.png")</f>
        <v/>
      </c>
    </row>
    <row r="757">
      <c r="A757" t="n">
        <v>4020</v>
      </c>
      <c r="B757" t="n">
        <v>11890</v>
      </c>
      <c r="C757" t="n">
        <v>54873</v>
      </c>
      <c r="D757" t="n">
        <v>1</v>
      </c>
      <c r="E757">
        <f>HYPERLINK("file:///C:/Users/anye forti/Desktop/2025 FALL/426 COSC/YOLO_TESTING/bbox-snapshots/frame04020_id11890.png", "frame04020_id11890.png")</f>
        <v/>
      </c>
    </row>
    <row r="758">
      <c r="A758" t="n">
        <v>4020</v>
      </c>
      <c r="B758" t="n">
        <v>11902</v>
      </c>
      <c r="C758" t="n">
        <v>41370</v>
      </c>
      <c r="D758" t="n">
        <v>1</v>
      </c>
      <c r="E758">
        <f>HYPERLINK("file:///C:/Users/anye forti/Desktop/2025 FALL/426 COSC/YOLO_TESTING/bbox-snapshots/frame04020_id11902.png", "frame04020_id11902.png")</f>
        <v/>
      </c>
    </row>
    <row r="759">
      <c r="A759" t="n">
        <v>4027</v>
      </c>
      <c r="B759" t="n">
        <v>11904</v>
      </c>
      <c r="C759" t="n">
        <v>62094</v>
      </c>
      <c r="D759" t="n">
        <v>2</v>
      </c>
      <c r="E759">
        <f>HYPERLINK("file:///C:/Users/anye forti/Desktop/2025 FALL/426 COSC/YOLO_TESTING/bbox-snapshots/frame04027_id11904.png", "frame04027_id11904.png")</f>
        <v/>
      </c>
    </row>
    <row r="760">
      <c r="A760" t="n">
        <v>4028</v>
      </c>
      <c r="B760" t="n">
        <v>11905</v>
      </c>
      <c r="C760" t="n">
        <v>41796</v>
      </c>
      <c r="D760" t="n">
        <v>1</v>
      </c>
      <c r="E760">
        <f>HYPERLINK("file:///C:/Users/anye forti/Desktop/2025 FALL/426 COSC/YOLO_TESTING/bbox-snapshots/frame04028_id11905.png", "frame04028_id11905.png")</f>
        <v/>
      </c>
    </row>
    <row r="761">
      <c r="A761" t="n">
        <v>4047</v>
      </c>
      <c r="B761" t="n">
        <v>11937</v>
      </c>
      <c r="C761" t="n">
        <v>51054</v>
      </c>
      <c r="D761" t="n">
        <v>1</v>
      </c>
      <c r="E761">
        <f>HYPERLINK("file:///C:/Users/anye forti/Desktop/2025 FALL/426 COSC/YOLO_TESTING/bbox-snapshots/frame04047_id11937.png", "frame04047_id11937.png")</f>
        <v/>
      </c>
    </row>
    <row r="762">
      <c r="A762" t="n">
        <v>4052</v>
      </c>
      <c r="B762" t="n">
        <v>11953</v>
      </c>
      <c r="C762" t="n">
        <v>48265</v>
      </c>
      <c r="D762" t="n">
        <v>1</v>
      </c>
      <c r="E762">
        <f>HYPERLINK("file:///C:/Users/anye forti/Desktop/2025 FALL/426 COSC/YOLO_TESTING/bbox-snapshots/frame04052_id11953.png", "frame04052_id11953.png")</f>
        <v/>
      </c>
    </row>
    <row r="763">
      <c r="A763" t="n">
        <v>4059</v>
      </c>
      <c r="B763" t="n">
        <v>11960</v>
      </c>
      <c r="C763" t="n">
        <v>35760</v>
      </c>
      <c r="D763" t="n">
        <v>1</v>
      </c>
      <c r="E763">
        <f>HYPERLINK("file:///C:/Users/anye forti/Desktop/2025 FALL/426 COSC/YOLO_TESTING/bbox-snapshots/frame04059_id11960.png", "frame04059_id11960.png")</f>
        <v/>
      </c>
    </row>
    <row r="764">
      <c r="A764" t="n">
        <v>4063</v>
      </c>
      <c r="B764" t="n">
        <v>11973</v>
      </c>
      <c r="C764" t="n">
        <v>48128</v>
      </c>
      <c r="D764" t="n">
        <v>1</v>
      </c>
      <c r="E764">
        <f>HYPERLINK("file:///C:/Users/anye forti/Desktop/2025 FALL/426 COSC/YOLO_TESTING/bbox-snapshots/frame04063_id11973.png", "frame04063_id11973.png")</f>
        <v/>
      </c>
    </row>
    <row r="765">
      <c r="A765" t="n">
        <v>4066</v>
      </c>
      <c r="B765" t="n">
        <v>11979</v>
      </c>
      <c r="C765" t="n">
        <v>60645</v>
      </c>
      <c r="D765" t="n">
        <v>2</v>
      </c>
      <c r="E765">
        <f>HYPERLINK("file:///C:/Users/anye forti/Desktop/2025 FALL/426 COSC/YOLO_TESTING/bbox-snapshots/frame04066_id11979.png", "frame04066_id11979.png")</f>
        <v/>
      </c>
    </row>
    <row r="766">
      <c r="A766" t="n">
        <v>4074</v>
      </c>
      <c r="B766" t="n">
        <v>12020</v>
      </c>
      <c r="C766" t="n">
        <v>34768</v>
      </c>
      <c r="D766" t="n">
        <v>1</v>
      </c>
      <c r="E766">
        <f>HYPERLINK("file:///C:/Users/anye forti/Desktop/2025 FALL/426 COSC/YOLO_TESTING/bbox-snapshots/frame04074_id12020.png", "frame04074_id12020.png")</f>
        <v/>
      </c>
    </row>
    <row r="767">
      <c r="A767" t="n">
        <v>4081</v>
      </c>
      <c r="B767" t="n">
        <v>12022</v>
      </c>
      <c r="C767" t="n">
        <v>55800</v>
      </c>
      <c r="D767" t="n">
        <v>1</v>
      </c>
      <c r="E767">
        <f>HYPERLINK("file:///C:/Users/anye forti/Desktop/2025 FALL/426 COSC/YOLO_TESTING/bbox-snapshots/frame04081_id12022.png", "frame04081_id12022.png")</f>
        <v/>
      </c>
    </row>
    <row r="768">
      <c r="A768" t="n">
        <v>4083</v>
      </c>
      <c r="B768" t="n">
        <v>12030</v>
      </c>
      <c r="C768" t="n">
        <v>36018</v>
      </c>
      <c r="D768" t="n">
        <v>1</v>
      </c>
      <c r="E768">
        <f>HYPERLINK("file:///C:/Users/anye forti/Desktop/2025 FALL/426 COSC/YOLO_TESTING/bbox-snapshots/frame04083_id12030.png", "frame04083_id12030.png")</f>
        <v/>
      </c>
    </row>
    <row r="769">
      <c r="A769" t="n">
        <v>4091</v>
      </c>
      <c r="B769" t="n">
        <v>12063</v>
      </c>
      <c r="C769" t="n">
        <v>59799</v>
      </c>
      <c r="D769" t="n">
        <v>2</v>
      </c>
      <c r="E769">
        <f>HYPERLINK("file:///C:/Users/anye forti/Desktop/2025 FALL/426 COSC/YOLO_TESTING/bbox-snapshots/frame04091_id12063.png", "frame04091_id12063.png")</f>
        <v/>
      </c>
    </row>
    <row r="770">
      <c r="A770" t="n">
        <v>4094</v>
      </c>
      <c r="B770" t="n">
        <v>12088</v>
      </c>
      <c r="C770" t="n">
        <v>29893</v>
      </c>
      <c r="D770" t="n">
        <v>1</v>
      </c>
      <c r="E770">
        <f>HYPERLINK("file:///C:/Users/anye forti/Desktop/2025 FALL/426 COSC/YOLO_TESTING/bbox-snapshots/frame04094_id12088.png", "frame04094_id12088.png")</f>
        <v/>
      </c>
    </row>
    <row r="771">
      <c r="A771" t="n">
        <v>4096</v>
      </c>
      <c r="B771" t="n">
        <v>12052</v>
      </c>
      <c r="C771" t="n">
        <v>49932</v>
      </c>
      <c r="D771" t="n">
        <v>1</v>
      </c>
      <c r="E771">
        <f>HYPERLINK("file:///C:/Users/anye forti/Desktop/2025 FALL/426 COSC/YOLO_TESTING/bbox-snapshots/frame04096_id12052.png", "frame04096_id12052.png")</f>
        <v/>
      </c>
    </row>
    <row r="772">
      <c r="A772" t="n">
        <v>4098</v>
      </c>
      <c r="B772" t="n">
        <v>12092</v>
      </c>
      <c r="C772" t="n">
        <v>44099</v>
      </c>
      <c r="D772" t="n">
        <v>1</v>
      </c>
      <c r="E772">
        <f>HYPERLINK("file:///C:/Users/anye forti/Desktop/2025 FALL/426 COSC/YOLO_TESTING/bbox-snapshots/frame04098_id12092.png", "frame04098_id12092.png")</f>
        <v/>
      </c>
    </row>
    <row r="773">
      <c r="A773" t="n">
        <v>4103</v>
      </c>
      <c r="B773" t="n">
        <v>12119</v>
      </c>
      <c r="C773" t="n">
        <v>37233</v>
      </c>
      <c r="D773" t="n">
        <v>1</v>
      </c>
      <c r="E773">
        <f>HYPERLINK("file:///C:/Users/anye forti/Desktop/2025 FALL/426 COSC/YOLO_TESTING/bbox-snapshots/frame04103_id12119.png", "frame04103_id12119.png")</f>
        <v/>
      </c>
    </row>
    <row r="774">
      <c r="A774" t="n">
        <v>4103</v>
      </c>
      <c r="B774" t="n">
        <v>12046</v>
      </c>
      <c r="C774" t="n">
        <v>30528</v>
      </c>
      <c r="D774" t="n">
        <v>1</v>
      </c>
      <c r="E774">
        <f>HYPERLINK("file:///C:/Users/anye forti/Desktop/2025 FALL/426 COSC/YOLO_TESTING/bbox-snapshots/frame04103_id12046.png", "frame04103_id12046.png")</f>
        <v/>
      </c>
    </row>
    <row r="775">
      <c r="A775" t="n">
        <v>4113</v>
      </c>
      <c r="B775" t="n">
        <v>12158</v>
      </c>
      <c r="C775" t="n">
        <v>39936</v>
      </c>
      <c r="D775" t="n">
        <v>1</v>
      </c>
      <c r="E775">
        <f>HYPERLINK("file:///C:/Users/anye forti/Desktop/2025 FALL/426 COSC/YOLO_TESTING/bbox-snapshots/frame04113_id12158.png", "frame04113_id12158.png")</f>
        <v/>
      </c>
    </row>
    <row r="776">
      <c r="A776" t="n">
        <v>4114</v>
      </c>
      <c r="B776" t="n">
        <v>12104</v>
      </c>
      <c r="C776" t="n">
        <v>69779</v>
      </c>
      <c r="D776" t="n">
        <v>2</v>
      </c>
      <c r="E776">
        <f>HYPERLINK("file:///C:/Users/anye forti/Desktop/2025 FALL/426 COSC/YOLO_TESTING/bbox-snapshots/frame04114_id12104.png", "frame04114_id12104.png")</f>
        <v/>
      </c>
    </row>
    <row r="777">
      <c r="A777" t="n">
        <v>4117</v>
      </c>
      <c r="B777" t="n">
        <v>12236</v>
      </c>
      <c r="C777" t="n">
        <v>53374</v>
      </c>
      <c r="D777" t="n">
        <v>1</v>
      </c>
      <c r="E777">
        <f>HYPERLINK("file:///C:/Users/anye forti/Desktop/2025 FALL/426 COSC/YOLO_TESTING/bbox-snapshots/frame04117_id12236.png", "frame04117_id12236.png")</f>
        <v/>
      </c>
    </row>
    <row r="778">
      <c r="A778" t="n">
        <v>4120</v>
      </c>
      <c r="B778" t="n">
        <v>12173</v>
      </c>
      <c r="C778" t="n">
        <v>34510</v>
      </c>
      <c r="D778" t="n">
        <v>1</v>
      </c>
      <c r="E778">
        <f>HYPERLINK("file:///C:/Users/anye forti/Desktop/2025 FALL/426 COSC/YOLO_TESTING/bbox-snapshots/frame04120_id12173.png", "frame04120_id12173.png")</f>
        <v/>
      </c>
    </row>
    <row r="779">
      <c r="A779" t="n">
        <v>4124</v>
      </c>
      <c r="B779" t="n">
        <v>12191</v>
      </c>
      <c r="C779" t="n">
        <v>45924</v>
      </c>
      <c r="D779" t="n">
        <v>1</v>
      </c>
      <c r="E779">
        <f>HYPERLINK("file:///C:/Users/anye forti/Desktop/2025 FALL/426 COSC/YOLO_TESTING/bbox-snapshots/frame04124_id12191.png", "frame04124_id12191.png")</f>
        <v/>
      </c>
    </row>
    <row r="780">
      <c r="A780" t="n">
        <v>4127</v>
      </c>
      <c r="B780" t="n">
        <v>12253</v>
      </c>
      <c r="C780" t="n">
        <v>34888</v>
      </c>
      <c r="D780" t="n">
        <v>1</v>
      </c>
      <c r="E780">
        <f>HYPERLINK("file:///C:/Users/anye forti/Desktop/2025 FALL/426 COSC/YOLO_TESTING/bbox-snapshots/frame04127_id12253.png", "frame04127_id12253.png")</f>
        <v/>
      </c>
    </row>
    <row r="781">
      <c r="A781" t="n">
        <v>4131</v>
      </c>
      <c r="B781" t="n">
        <v>12249</v>
      </c>
      <c r="C781" t="n">
        <v>54332</v>
      </c>
      <c r="D781" t="n">
        <v>1</v>
      </c>
      <c r="E781">
        <f>HYPERLINK("file:///C:/Users/anye forti/Desktop/2025 FALL/426 COSC/YOLO_TESTING/bbox-snapshots/frame04131_id12249.png", "frame04131_id12249.png")</f>
        <v/>
      </c>
    </row>
    <row r="782">
      <c r="A782" t="n">
        <v>4134</v>
      </c>
      <c r="B782" t="n">
        <v>12321</v>
      </c>
      <c r="C782" t="n">
        <v>23970</v>
      </c>
      <c r="D782" t="n">
        <v>1</v>
      </c>
      <c r="E782">
        <f>HYPERLINK("file:///C:/Users/anye forti/Desktop/2025 FALL/426 COSC/YOLO_TESTING/bbox-snapshots/frame04134_id12321.png", "frame04134_id12321.png")</f>
        <v/>
      </c>
    </row>
    <row r="783">
      <c r="A783" t="n">
        <v>4138</v>
      </c>
      <c r="B783" t="n">
        <v>12344</v>
      </c>
      <c r="C783" t="n">
        <v>22080</v>
      </c>
      <c r="D783" t="n">
        <v>1</v>
      </c>
      <c r="E783">
        <f>HYPERLINK("file:///C:/Users/anye forti/Desktop/2025 FALL/426 COSC/YOLO_TESTING/bbox-snapshots/frame04138_id12344.png", "frame04138_id12344.png")</f>
        <v/>
      </c>
    </row>
    <row r="784">
      <c r="A784" t="n">
        <v>4141</v>
      </c>
      <c r="B784" t="n">
        <v>12223</v>
      </c>
      <c r="C784" t="n">
        <v>37730</v>
      </c>
      <c r="D784" t="n">
        <v>1</v>
      </c>
      <c r="E784">
        <f>HYPERLINK("file:///C:/Users/anye forti/Desktop/2025 FALL/426 COSC/YOLO_TESTING/bbox-snapshots/frame04141_id12223.png", "frame04141_id12223.png")</f>
        <v/>
      </c>
    </row>
    <row r="785">
      <c r="A785" t="n">
        <v>4141</v>
      </c>
      <c r="B785" t="n">
        <v>12346</v>
      </c>
      <c r="C785" t="n">
        <v>21476</v>
      </c>
      <c r="D785" t="n">
        <v>1</v>
      </c>
      <c r="E785">
        <f>HYPERLINK("file:///C:/Users/anye forti/Desktop/2025 FALL/426 COSC/YOLO_TESTING/bbox-snapshots/frame04141_id12346.png", "frame04141_id12346.png")</f>
        <v/>
      </c>
    </row>
    <row r="786">
      <c r="A786" t="n">
        <v>4146</v>
      </c>
      <c r="B786" t="n">
        <v>12289</v>
      </c>
      <c r="C786" t="n">
        <v>42237</v>
      </c>
      <c r="D786" t="n">
        <v>1</v>
      </c>
      <c r="E786">
        <f>HYPERLINK("file:///C:/Users/anye forti/Desktop/2025 FALL/426 COSC/YOLO_TESTING/bbox-snapshots/frame04146_id12289.png", "frame04146_id12289.png")</f>
        <v/>
      </c>
    </row>
    <row r="787">
      <c r="A787" t="n">
        <v>4146</v>
      </c>
      <c r="B787" t="n">
        <v>12293</v>
      </c>
      <c r="C787" t="n">
        <v>45326</v>
      </c>
      <c r="D787" t="n">
        <v>1</v>
      </c>
      <c r="E787">
        <f>HYPERLINK("file:///C:/Users/anye forti/Desktop/2025 FALL/426 COSC/YOLO_TESTING/bbox-snapshots/frame04146_id12293.png", "frame04146_id12293.png")</f>
        <v/>
      </c>
    </row>
    <row r="788">
      <c r="A788" t="n">
        <v>4148</v>
      </c>
      <c r="B788" t="n">
        <v>12292</v>
      </c>
      <c r="C788" t="n">
        <v>34532</v>
      </c>
      <c r="D788" t="n">
        <v>1</v>
      </c>
      <c r="E788">
        <f>HYPERLINK("file:///C:/Users/anye forti/Desktop/2025 FALL/426 COSC/YOLO_TESTING/bbox-snapshots/frame04148_id12292.png", "frame04148_id12292.png")</f>
        <v/>
      </c>
    </row>
    <row r="789">
      <c r="A789" t="n">
        <v>4152</v>
      </c>
      <c r="B789" t="n">
        <v>12435</v>
      </c>
      <c r="C789" t="n">
        <v>42420</v>
      </c>
      <c r="D789" t="n">
        <v>1</v>
      </c>
      <c r="E789">
        <f>HYPERLINK("file:///C:/Users/anye forti/Desktop/2025 FALL/426 COSC/YOLO_TESTING/bbox-snapshots/frame04152_id12435.png", "frame04152_id12435.png")</f>
        <v/>
      </c>
    </row>
    <row r="790">
      <c r="A790" t="n">
        <v>4155</v>
      </c>
      <c r="B790" t="n">
        <v>12352</v>
      </c>
      <c r="C790" t="n">
        <v>33384</v>
      </c>
      <c r="D790" t="n">
        <v>1</v>
      </c>
      <c r="E790">
        <f>HYPERLINK("file:///C:/Users/anye forti/Desktop/2025 FALL/426 COSC/YOLO_TESTING/bbox-snapshots/frame04155_id12352.png", "frame04155_id12352.png")</f>
        <v/>
      </c>
    </row>
    <row r="791">
      <c r="A791" t="n">
        <v>4159</v>
      </c>
      <c r="B791" t="n">
        <v>12358</v>
      </c>
      <c r="C791" t="n">
        <v>48470</v>
      </c>
      <c r="D791" t="n">
        <v>1</v>
      </c>
      <c r="E791">
        <f>HYPERLINK("file:///C:/Users/anye forti/Desktop/2025 FALL/426 COSC/YOLO_TESTING/bbox-snapshots/frame04159_id12358.png", "frame04159_id12358.png")</f>
        <v/>
      </c>
    </row>
    <row r="792">
      <c r="A792" t="n">
        <v>4161</v>
      </c>
      <c r="B792" t="n">
        <v>12267</v>
      </c>
      <c r="C792" t="n">
        <v>49469</v>
      </c>
      <c r="D792" t="n">
        <v>1</v>
      </c>
      <c r="E792">
        <f>HYPERLINK("file:///C:/Users/anye forti/Desktop/2025 FALL/426 COSC/YOLO_TESTING/bbox-snapshots/frame04161_id12267.png", "frame04161_id12267.png")</f>
        <v/>
      </c>
    </row>
    <row r="793">
      <c r="A793" t="n">
        <v>4165</v>
      </c>
      <c r="B793" t="n">
        <v>12403</v>
      </c>
      <c r="C793" t="n">
        <v>54384</v>
      </c>
      <c r="D793" t="n">
        <v>1</v>
      </c>
      <c r="E793">
        <f>HYPERLINK("file:///C:/Users/anye forti/Desktop/2025 FALL/426 COSC/YOLO_TESTING/bbox-snapshots/frame04165_id12403.png", "frame04165_id12403.png")</f>
        <v/>
      </c>
    </row>
    <row r="794">
      <c r="A794" t="n">
        <v>4171</v>
      </c>
      <c r="B794" t="n">
        <v>12447</v>
      </c>
      <c r="C794" t="n">
        <v>14518</v>
      </c>
      <c r="D794" t="n">
        <v>1</v>
      </c>
      <c r="E794">
        <f>HYPERLINK("file:///C:/Users/anye forti/Desktop/2025 FALL/426 COSC/YOLO_TESTING/bbox-snapshots/frame04171_id12447.png", "frame04171_id12447.png")</f>
        <v/>
      </c>
    </row>
    <row r="795">
      <c r="A795" t="n">
        <v>4177</v>
      </c>
      <c r="B795" t="n">
        <v>12446</v>
      </c>
      <c r="C795" t="n">
        <v>82174</v>
      </c>
      <c r="D795" t="n">
        <v>2</v>
      </c>
      <c r="E795">
        <f>HYPERLINK("file:///C:/Users/anye forti/Desktop/2025 FALL/426 COSC/YOLO_TESTING/bbox-snapshots/frame04177_id12446.png", "frame04177_id12446.png")</f>
        <v/>
      </c>
    </row>
    <row r="796">
      <c r="A796" t="n">
        <v>4180</v>
      </c>
      <c r="B796" t="n">
        <v>12471</v>
      </c>
      <c r="C796" t="n">
        <v>52116</v>
      </c>
      <c r="D796" t="n">
        <v>1</v>
      </c>
      <c r="E796">
        <f>HYPERLINK("file:///C:/Users/anye forti/Desktop/2025 FALL/426 COSC/YOLO_TESTING/bbox-snapshots/frame04180_id12471.png", "frame04180_id12471.png")</f>
        <v/>
      </c>
    </row>
    <row r="797">
      <c r="A797" t="n">
        <v>4184</v>
      </c>
      <c r="B797" t="n">
        <v>12324</v>
      </c>
      <c r="C797" t="n">
        <v>24568</v>
      </c>
      <c r="D797" t="n">
        <v>1</v>
      </c>
      <c r="E797">
        <f>HYPERLINK("file:///C:/Users/anye forti/Desktop/2025 FALL/426 COSC/YOLO_TESTING/bbox-snapshots/frame04184_id12324.png", "frame04184_id12324.png")</f>
        <v/>
      </c>
    </row>
    <row r="798">
      <c r="A798" t="n">
        <v>4190</v>
      </c>
      <c r="B798" t="n">
        <v>12492</v>
      </c>
      <c r="C798" t="n">
        <v>11760</v>
      </c>
      <c r="D798" t="n">
        <v>0</v>
      </c>
      <c r="E798">
        <f>HYPERLINK("file:///C:/Users/anye forti/Desktop/2025 FALL/426 COSC/YOLO_TESTING/bbox-snapshots/frame04190_id12492.png", "frame04190_id12492.png")</f>
        <v/>
      </c>
    </row>
    <row r="799">
      <c r="A799" t="n">
        <v>4197</v>
      </c>
      <c r="B799" t="n">
        <v>12511</v>
      </c>
      <c r="C799" t="n">
        <v>48800</v>
      </c>
      <c r="D799" t="n">
        <v>1</v>
      </c>
      <c r="E799">
        <f>HYPERLINK("file:///C:/Users/anye forti/Desktop/2025 FALL/426 COSC/YOLO_TESTING/bbox-snapshots/frame04197_id12511.png", "frame04197_id12511.png")</f>
        <v/>
      </c>
    </row>
    <row r="800">
      <c r="A800" t="n">
        <v>4209</v>
      </c>
      <c r="B800" t="n">
        <v>12542</v>
      </c>
      <c r="C800" t="n">
        <v>47674</v>
      </c>
      <c r="D800" t="n">
        <v>1</v>
      </c>
      <c r="E800">
        <f>HYPERLINK("file:///C:/Users/anye forti/Desktop/2025 FALL/426 COSC/YOLO_TESTING/bbox-snapshots/frame04209_id12542.png", "frame04209_id12542.png")</f>
        <v/>
      </c>
    </row>
    <row r="801">
      <c r="A801" t="n">
        <v>4217</v>
      </c>
      <c r="B801" t="n">
        <v>12567</v>
      </c>
      <c r="C801" t="n">
        <v>29547</v>
      </c>
      <c r="D801" t="n">
        <v>1</v>
      </c>
      <c r="E801">
        <f>HYPERLINK("file:///C:/Users/anye forti/Desktop/2025 FALL/426 COSC/YOLO_TESTING/bbox-snapshots/frame04217_id12567.png", "frame04217_id12567.png")</f>
        <v/>
      </c>
    </row>
    <row r="802">
      <c r="A802" t="n">
        <v>4218</v>
      </c>
      <c r="B802" t="n">
        <v>12565</v>
      </c>
      <c r="C802" t="n">
        <v>59800</v>
      </c>
      <c r="D802" t="n">
        <v>2</v>
      </c>
      <c r="E802">
        <f>HYPERLINK("file:///C:/Users/anye forti/Desktop/2025 FALL/426 COSC/YOLO_TESTING/bbox-snapshots/frame04218_id12565.png", "frame04218_id12565.png")</f>
        <v/>
      </c>
    </row>
    <row r="803">
      <c r="A803" t="n">
        <v>4224</v>
      </c>
      <c r="B803" t="n">
        <v>12490</v>
      </c>
      <c r="C803" t="n">
        <v>62260</v>
      </c>
      <c r="D803" t="n">
        <v>2</v>
      </c>
      <c r="E803">
        <f>HYPERLINK("file:///C:/Users/anye forti/Desktop/2025 FALL/426 COSC/YOLO_TESTING/bbox-snapshots/frame04224_id12490.png", "frame04224_id12490.png")</f>
        <v/>
      </c>
    </row>
    <row r="804">
      <c r="A804" t="n">
        <v>4240</v>
      </c>
      <c r="B804" t="n">
        <v>12609</v>
      </c>
      <c r="C804" t="n">
        <v>48692</v>
      </c>
      <c r="D804" t="n">
        <v>1</v>
      </c>
      <c r="E804">
        <f>HYPERLINK("file:///C:/Users/anye forti/Desktop/2025 FALL/426 COSC/YOLO_TESTING/bbox-snapshots/frame04240_id12609.png", "frame04240_id12609.png")</f>
        <v/>
      </c>
    </row>
    <row r="805">
      <c r="A805" t="n">
        <v>4240</v>
      </c>
      <c r="B805" t="n">
        <v>12618</v>
      </c>
      <c r="C805" t="n">
        <v>36888</v>
      </c>
      <c r="D805" t="n">
        <v>1</v>
      </c>
      <c r="E805">
        <f>HYPERLINK("file:///C:/Users/anye forti/Desktop/2025 FALL/426 COSC/YOLO_TESTING/bbox-snapshots/frame04240_id12618.png", "frame04240_id12618.png")</f>
        <v/>
      </c>
    </row>
    <row r="806">
      <c r="A806" t="n">
        <v>4244</v>
      </c>
      <c r="B806" t="n">
        <v>12613</v>
      </c>
      <c r="C806" t="n">
        <v>52164</v>
      </c>
      <c r="D806" t="n">
        <v>1</v>
      </c>
      <c r="E806">
        <f>HYPERLINK("file:///C:/Users/anye forti/Desktop/2025 FALL/426 COSC/YOLO_TESTING/bbox-snapshots/frame04244_id12613.png", "frame04244_id12613.png")</f>
        <v/>
      </c>
    </row>
    <row r="807">
      <c r="A807" t="n">
        <v>4255</v>
      </c>
      <c r="B807" t="n">
        <v>12665</v>
      </c>
      <c r="C807" t="n">
        <v>41109</v>
      </c>
      <c r="D807" t="n">
        <v>1</v>
      </c>
      <c r="E807">
        <f>HYPERLINK("file:///C:/Users/anye forti/Desktop/2025 FALL/426 COSC/YOLO_TESTING/bbox-snapshots/frame04255_id12665.png", "frame04255_id12665.png")</f>
        <v/>
      </c>
    </row>
    <row r="808">
      <c r="A808" t="n">
        <v>4264</v>
      </c>
      <c r="B808" t="n">
        <v>12699</v>
      </c>
      <c r="C808" t="n">
        <v>33807</v>
      </c>
      <c r="D808" t="n">
        <v>1</v>
      </c>
      <c r="E808">
        <f>HYPERLINK("file:///C:/Users/anye forti/Desktop/2025 FALL/426 COSC/YOLO_TESTING/bbox-snapshots/frame04264_id12699.png", "frame04264_id12699.png")</f>
        <v/>
      </c>
    </row>
    <row r="809">
      <c r="A809" t="n">
        <v>4265</v>
      </c>
      <c r="B809" t="n">
        <v>12693</v>
      </c>
      <c r="C809" t="n">
        <v>65618</v>
      </c>
      <c r="D809" t="n">
        <v>2</v>
      </c>
      <c r="E809">
        <f>HYPERLINK("file:///C:/Users/anye forti/Desktop/2025 FALL/426 COSC/YOLO_TESTING/bbox-snapshots/frame04265_id12693.png", "frame04265_id12693.png")</f>
        <v/>
      </c>
    </row>
    <row r="810">
      <c r="A810" t="n">
        <v>4271</v>
      </c>
      <c r="B810" t="n">
        <v>12779</v>
      </c>
      <c r="C810" t="n">
        <v>69414</v>
      </c>
      <c r="D810" t="n">
        <v>2</v>
      </c>
      <c r="E810">
        <f>HYPERLINK("file:///C:/Users/anye forti/Desktop/2025 FALL/426 COSC/YOLO_TESTING/bbox-snapshots/frame04271_id12779.png", "frame04271_id12779.png")</f>
        <v/>
      </c>
    </row>
    <row r="811">
      <c r="A811" t="n">
        <v>4283</v>
      </c>
      <c r="B811" t="n">
        <v>12741</v>
      </c>
      <c r="C811" t="n">
        <v>49335</v>
      </c>
      <c r="D811" t="n">
        <v>1</v>
      </c>
      <c r="E811">
        <f>HYPERLINK("file:///C:/Users/anye forti/Desktop/2025 FALL/426 COSC/YOLO_TESTING/bbox-snapshots/frame04283_id12741.png", "frame04283_id12741.png")</f>
        <v/>
      </c>
    </row>
    <row r="812">
      <c r="A812" t="n">
        <v>4283</v>
      </c>
      <c r="B812" t="n">
        <v>12760</v>
      </c>
      <c r="C812" t="n">
        <v>50167</v>
      </c>
      <c r="D812" t="n">
        <v>1</v>
      </c>
      <c r="E812">
        <f>HYPERLINK("file:///C:/Users/anye forti/Desktop/2025 FALL/426 COSC/YOLO_TESTING/bbox-snapshots/frame04283_id12760.png", "frame04283_id12760.png")</f>
        <v/>
      </c>
    </row>
    <row r="813">
      <c r="A813" t="n">
        <v>4294</v>
      </c>
      <c r="B813" t="n">
        <v>12772</v>
      </c>
      <c r="C813" t="n">
        <v>52334</v>
      </c>
      <c r="D813" t="n">
        <v>1</v>
      </c>
      <c r="E813">
        <f>HYPERLINK("file:///C:/Users/anye forti/Desktop/2025 FALL/426 COSC/YOLO_TESTING/bbox-snapshots/frame04294_id12772.png", "frame04294_id12772.png")</f>
        <v/>
      </c>
    </row>
    <row r="814">
      <c r="A814" t="n">
        <v>4297</v>
      </c>
      <c r="B814" t="n">
        <v>12790</v>
      </c>
      <c r="C814" t="n">
        <v>16330</v>
      </c>
      <c r="D814" t="n">
        <v>1</v>
      </c>
      <c r="E814">
        <f>HYPERLINK("file:///C:/Users/anye forti/Desktop/2025 FALL/426 COSC/YOLO_TESTING/bbox-snapshots/frame04297_id12790.png", "frame04297_id12790.png")</f>
        <v/>
      </c>
    </row>
    <row r="815">
      <c r="A815" t="n">
        <v>4300</v>
      </c>
      <c r="B815" t="n">
        <v>12797</v>
      </c>
      <c r="C815" t="n">
        <v>67646</v>
      </c>
      <c r="D815" t="n">
        <v>2</v>
      </c>
      <c r="E815">
        <f>HYPERLINK("file:///C:/Users/anye forti/Desktop/2025 FALL/426 COSC/YOLO_TESTING/bbox-snapshots/frame04300_id12797.png", "frame04300_id12797.png")</f>
        <v/>
      </c>
    </row>
    <row r="816">
      <c r="A816" t="n">
        <v>4303</v>
      </c>
      <c r="B816" t="n">
        <v>12813</v>
      </c>
      <c r="C816" t="n">
        <v>64184</v>
      </c>
      <c r="D816" t="n">
        <v>2</v>
      </c>
      <c r="E816">
        <f>HYPERLINK("file:///C:/Users/anye forti/Desktop/2025 FALL/426 COSC/YOLO_TESTING/bbox-snapshots/frame04303_id12813.png", "frame04303_id12813.png")</f>
        <v/>
      </c>
    </row>
    <row r="817">
      <c r="A817" t="n">
        <v>4304</v>
      </c>
      <c r="B817" t="n">
        <v>12896</v>
      </c>
      <c r="C817" t="n">
        <v>17732</v>
      </c>
      <c r="D817" t="n">
        <v>1</v>
      </c>
      <c r="E817">
        <f>HYPERLINK("file:///C:/Users/anye forti/Desktop/2025 FALL/426 COSC/YOLO_TESTING/bbox-snapshots/frame04304_id12896.png", "frame04304_id12896.png")</f>
        <v/>
      </c>
    </row>
    <row r="818">
      <c r="A818" t="n">
        <v>4311</v>
      </c>
      <c r="B818" t="n">
        <v>12843</v>
      </c>
      <c r="C818" t="n">
        <v>28080</v>
      </c>
      <c r="D818" t="n">
        <v>1</v>
      </c>
      <c r="E818">
        <f>HYPERLINK("file:///C:/Users/anye forti/Desktop/2025 FALL/426 COSC/YOLO_TESTING/bbox-snapshots/frame04311_id12843.png", "frame04311_id12843.png")</f>
        <v/>
      </c>
    </row>
    <row r="819">
      <c r="A819" t="n">
        <v>4313</v>
      </c>
      <c r="B819" t="n">
        <v>12846</v>
      </c>
      <c r="C819" t="n">
        <v>53594</v>
      </c>
      <c r="D819" t="n">
        <v>1</v>
      </c>
      <c r="E819">
        <f>HYPERLINK("file:///C:/Users/anye forti/Desktop/2025 FALL/426 COSC/YOLO_TESTING/bbox-snapshots/frame04313_id12846.png", "frame04313_id12846.png")</f>
        <v/>
      </c>
    </row>
    <row r="820">
      <c r="A820" t="n">
        <v>4319</v>
      </c>
      <c r="B820" t="n">
        <v>12879</v>
      </c>
      <c r="C820" t="n">
        <v>49737</v>
      </c>
      <c r="D820" t="n">
        <v>1</v>
      </c>
      <c r="E820">
        <f>HYPERLINK("file:///C:/Users/anye forti/Desktop/2025 FALL/426 COSC/YOLO_TESTING/bbox-snapshots/frame04319_id12879.png", "frame04319_id12879.png")</f>
        <v/>
      </c>
    </row>
    <row r="821">
      <c r="A821" t="n">
        <v>4326</v>
      </c>
      <c r="B821" t="n">
        <v>12906</v>
      </c>
      <c r="C821" t="n">
        <v>36182</v>
      </c>
      <c r="D821" t="n">
        <v>1</v>
      </c>
      <c r="E821">
        <f>HYPERLINK("file:///C:/Users/anye forti/Desktop/2025 FALL/426 COSC/YOLO_TESTING/bbox-snapshots/frame04326_id12906.png", "frame04326_id12906.png")</f>
        <v/>
      </c>
    </row>
    <row r="822">
      <c r="A822" t="n">
        <v>4330</v>
      </c>
      <c r="B822" t="n">
        <v>12922</v>
      </c>
      <c r="C822" t="n">
        <v>29548</v>
      </c>
      <c r="D822" t="n">
        <v>1</v>
      </c>
      <c r="E822">
        <f>HYPERLINK("file:///C:/Users/anye forti/Desktop/2025 FALL/426 COSC/YOLO_TESTING/bbox-snapshots/frame04330_id12922.png", "frame04330_id12922.png")</f>
        <v/>
      </c>
    </row>
    <row r="823">
      <c r="A823" t="n">
        <v>4336</v>
      </c>
      <c r="B823" t="n">
        <v>12932</v>
      </c>
      <c r="C823" t="n">
        <v>32578</v>
      </c>
      <c r="D823" t="n">
        <v>1</v>
      </c>
      <c r="E823">
        <f>HYPERLINK("file:///C:/Users/anye forti/Desktop/2025 FALL/426 COSC/YOLO_TESTING/bbox-snapshots/frame04336_id12932.png", "frame04336_id12932.png")</f>
        <v/>
      </c>
    </row>
    <row r="824">
      <c r="A824" t="n">
        <v>4342</v>
      </c>
      <c r="B824" t="n">
        <v>12965</v>
      </c>
      <c r="C824" t="n">
        <v>40001</v>
      </c>
      <c r="D824" t="n">
        <v>1</v>
      </c>
      <c r="E824">
        <f>HYPERLINK("file:///C:/Users/anye forti/Desktop/2025 FALL/426 COSC/YOLO_TESTING/bbox-snapshots/frame04342_id12965.png", "frame04342_id12965.png")</f>
        <v/>
      </c>
    </row>
    <row r="825">
      <c r="A825" t="n">
        <v>4351</v>
      </c>
      <c r="B825" t="n">
        <v>12984</v>
      </c>
      <c r="C825" t="n">
        <v>27692</v>
      </c>
      <c r="D825" t="n">
        <v>1</v>
      </c>
      <c r="E825">
        <f>HYPERLINK("file:///C:/Users/anye forti/Desktop/2025 FALL/426 COSC/YOLO_TESTING/bbox-snapshots/frame04351_id12984.png", "frame04351_id12984.png")</f>
        <v/>
      </c>
    </row>
    <row r="826">
      <c r="A826" t="n">
        <v>4352</v>
      </c>
      <c r="B826" t="n">
        <v>12985</v>
      </c>
      <c r="C826" t="n">
        <v>51957</v>
      </c>
      <c r="D826" t="n">
        <v>1</v>
      </c>
      <c r="E826">
        <f>HYPERLINK("file:///C:/Users/anye forti/Desktop/2025 FALL/426 COSC/YOLO_TESTING/bbox-snapshots/frame04352_id12985.png", "frame04352_id12985.png")</f>
        <v/>
      </c>
    </row>
    <row r="827">
      <c r="A827" t="n">
        <v>4353</v>
      </c>
      <c r="B827" t="n">
        <v>12956</v>
      </c>
      <c r="C827" t="n">
        <v>36925</v>
      </c>
      <c r="D827" t="n">
        <v>1</v>
      </c>
      <c r="E827">
        <f>HYPERLINK("file:///C:/Users/anye forti/Desktop/2025 FALL/426 COSC/YOLO_TESTING/bbox-snapshots/frame04353_id12956.png", "frame04353_id12956.png")</f>
        <v/>
      </c>
    </row>
    <row r="828">
      <c r="A828" t="n">
        <v>4357</v>
      </c>
      <c r="B828" t="n">
        <v>13029</v>
      </c>
      <c r="C828" t="n">
        <v>32913</v>
      </c>
      <c r="D828" t="n">
        <v>1</v>
      </c>
      <c r="E828">
        <f>HYPERLINK("file:///C:/Users/anye forti/Desktop/2025 FALL/426 COSC/YOLO_TESTING/bbox-snapshots/frame04357_id13029.png", "frame04357_id13029.png")</f>
        <v/>
      </c>
    </row>
    <row r="829">
      <c r="A829" t="n">
        <v>4358</v>
      </c>
      <c r="B829" t="n">
        <v>13017</v>
      </c>
      <c r="C829" t="n">
        <v>23550</v>
      </c>
      <c r="D829" t="n">
        <v>1</v>
      </c>
      <c r="E829">
        <f>HYPERLINK("file:///C:/Users/anye forti/Desktop/2025 FALL/426 COSC/YOLO_TESTING/bbox-snapshots/frame04358_id13017.png", "frame04358_id13017.png")</f>
        <v/>
      </c>
    </row>
    <row r="830">
      <c r="A830" t="n">
        <v>4360</v>
      </c>
      <c r="B830" t="n">
        <v>13006</v>
      </c>
      <c r="C830" t="n">
        <v>45824</v>
      </c>
      <c r="D830" t="n">
        <v>1</v>
      </c>
      <c r="E830">
        <f>HYPERLINK("file:///C:/Users/anye forti/Desktop/2025 FALL/426 COSC/YOLO_TESTING/bbox-snapshots/frame04360_id13006.png", "frame04360_id13006.png")</f>
        <v/>
      </c>
    </row>
    <row r="831">
      <c r="A831" t="n">
        <v>4367</v>
      </c>
      <c r="B831" t="n">
        <v>13036</v>
      </c>
      <c r="C831" t="n">
        <v>61776</v>
      </c>
      <c r="D831" t="n">
        <v>2</v>
      </c>
      <c r="E831">
        <f>HYPERLINK("file:///C:/Users/anye forti/Desktop/2025 FALL/426 COSC/YOLO_TESTING/bbox-snapshots/frame04367_id13036.png", "frame04367_id13036.png")</f>
        <v/>
      </c>
    </row>
    <row r="832">
      <c r="A832" t="n">
        <v>4378</v>
      </c>
      <c r="B832" t="n">
        <v>13055</v>
      </c>
      <c r="C832" t="n">
        <v>42372</v>
      </c>
      <c r="D832" t="n">
        <v>1</v>
      </c>
      <c r="E832">
        <f>HYPERLINK("file:///C:/Users/anye forti/Desktop/2025 FALL/426 COSC/YOLO_TESTING/bbox-snapshots/frame04378_id13055.png", "frame04378_id13055.png")</f>
        <v/>
      </c>
    </row>
    <row r="833">
      <c r="A833" t="n">
        <v>4378</v>
      </c>
      <c r="B833" t="n">
        <v>13106</v>
      </c>
      <c r="C833" t="n">
        <v>51660</v>
      </c>
      <c r="D833" t="n">
        <v>1</v>
      </c>
      <c r="E833">
        <f>HYPERLINK("file:///C:/Users/anye forti/Desktop/2025 FALL/426 COSC/YOLO_TESTING/bbox-snapshots/frame04378_id13106.png", "frame04378_id13106.png")</f>
        <v/>
      </c>
    </row>
    <row r="834">
      <c r="A834" t="n">
        <v>4385</v>
      </c>
      <c r="B834" t="n">
        <v>13060</v>
      </c>
      <c r="C834" t="n">
        <v>25840</v>
      </c>
      <c r="D834" t="n">
        <v>1</v>
      </c>
      <c r="E834">
        <f>HYPERLINK("file:///C:/Users/anye forti/Desktop/2025 FALL/426 COSC/YOLO_TESTING/bbox-snapshots/frame04385_id13060.png", "frame04385_id13060.png")</f>
        <v/>
      </c>
    </row>
    <row r="835">
      <c r="A835" t="n">
        <v>4388</v>
      </c>
      <c r="B835" t="n">
        <v>13168</v>
      </c>
      <c r="C835" t="n">
        <v>19360</v>
      </c>
      <c r="D835" t="n">
        <v>1</v>
      </c>
      <c r="E835">
        <f>HYPERLINK("file:///C:/Users/anye forti/Desktop/2025 FALL/426 COSC/YOLO_TESTING/bbox-snapshots/frame04388_id13168.png", "frame04388_id13168.png")</f>
        <v/>
      </c>
    </row>
    <row r="836">
      <c r="A836" t="n">
        <v>4392</v>
      </c>
      <c r="B836" t="n">
        <v>13111</v>
      </c>
      <c r="C836" t="n">
        <v>48960</v>
      </c>
      <c r="D836" t="n">
        <v>1</v>
      </c>
      <c r="E836">
        <f>HYPERLINK("file:///C:/Users/anye forti/Desktop/2025 FALL/426 COSC/YOLO_TESTING/bbox-snapshots/frame04392_id13111.png", "frame04392_id13111.png")</f>
        <v/>
      </c>
    </row>
    <row r="837">
      <c r="A837" t="n">
        <v>4392</v>
      </c>
      <c r="B837" t="n">
        <v>13130</v>
      </c>
      <c r="C837" t="n">
        <v>71592</v>
      </c>
      <c r="D837" t="n">
        <v>2</v>
      </c>
      <c r="E837">
        <f>HYPERLINK("file:///C:/Users/anye forti/Desktop/2025 FALL/426 COSC/YOLO_TESTING/bbox-snapshots/frame04392_id13130.png", "frame04392_id13130.png")</f>
        <v/>
      </c>
    </row>
    <row r="838">
      <c r="A838" t="n">
        <v>4394</v>
      </c>
      <c r="B838" t="n">
        <v>13120</v>
      </c>
      <c r="C838" t="n">
        <v>37611</v>
      </c>
      <c r="D838" t="n">
        <v>1</v>
      </c>
      <c r="E838">
        <f>HYPERLINK("file:///C:/Users/anye forti/Desktop/2025 FALL/426 COSC/YOLO_TESTING/bbox-snapshots/frame04394_id13120.png", "frame04394_id13120.png")</f>
        <v/>
      </c>
    </row>
    <row r="839">
      <c r="A839" t="n">
        <v>4406</v>
      </c>
      <c r="B839" t="n">
        <v>13157</v>
      </c>
      <c r="C839" t="n">
        <v>47094</v>
      </c>
      <c r="D839" t="n">
        <v>1</v>
      </c>
      <c r="E839">
        <f>HYPERLINK("file:///C:/Users/anye forti/Desktop/2025 FALL/426 COSC/YOLO_TESTING/bbox-snapshots/frame04406_id13157.png", "frame04406_id13157.png")</f>
        <v/>
      </c>
    </row>
    <row r="840">
      <c r="A840" t="n">
        <v>4406</v>
      </c>
      <c r="B840" t="n">
        <v>13179</v>
      </c>
      <c r="C840" t="n">
        <v>37635</v>
      </c>
      <c r="D840" t="n">
        <v>1</v>
      </c>
      <c r="E840">
        <f>HYPERLINK("file:///C:/Users/anye forti/Desktop/2025 FALL/426 COSC/YOLO_TESTING/bbox-snapshots/frame04406_id13179.png", "frame04406_id13179.png")</f>
        <v/>
      </c>
    </row>
    <row r="841">
      <c r="A841" t="n">
        <v>4413</v>
      </c>
      <c r="B841" t="n">
        <v>13186</v>
      </c>
      <c r="C841" t="n">
        <v>60696</v>
      </c>
      <c r="D841" t="n">
        <v>2</v>
      </c>
      <c r="E841">
        <f>HYPERLINK("file:///C:/Users/anye forti/Desktop/2025 FALL/426 COSC/YOLO_TESTING/bbox-snapshots/frame04413_id13186.png", "frame04413_id13186.png")</f>
        <v/>
      </c>
    </row>
    <row r="842">
      <c r="A842" t="n">
        <v>4428</v>
      </c>
      <c r="B842" t="n">
        <v>13243</v>
      </c>
      <c r="C842" t="n">
        <v>37450</v>
      </c>
      <c r="D842" t="n">
        <v>1</v>
      </c>
      <c r="E842">
        <f>HYPERLINK("file:///C:/Users/anye forti/Desktop/2025 FALL/426 COSC/YOLO_TESTING/bbox-snapshots/frame04428_id13243.png", "frame04428_id13243.png")</f>
        <v/>
      </c>
    </row>
    <row r="843">
      <c r="A843" t="n">
        <v>4431</v>
      </c>
      <c r="B843" t="n">
        <v>13245</v>
      </c>
      <c r="C843" t="n">
        <v>48112</v>
      </c>
      <c r="D843" t="n">
        <v>1</v>
      </c>
      <c r="E843">
        <f>HYPERLINK("file:///C:/Users/anye forti/Desktop/2025 FALL/426 COSC/YOLO_TESTING/bbox-snapshots/frame04431_id13245.png", "frame04431_id13245.png")</f>
        <v/>
      </c>
    </row>
    <row r="844">
      <c r="A844" t="n">
        <v>4434</v>
      </c>
      <c r="B844" t="n">
        <v>13278</v>
      </c>
      <c r="C844" t="n">
        <v>23048</v>
      </c>
      <c r="D844" t="n">
        <v>1</v>
      </c>
      <c r="E844">
        <f>HYPERLINK("file:///C:/Users/anye forti/Desktop/2025 FALL/426 COSC/YOLO_TESTING/bbox-snapshots/frame04434_id13278.png", "frame04434_id13278.png")</f>
        <v/>
      </c>
    </row>
    <row r="845">
      <c r="A845" t="n">
        <v>4440</v>
      </c>
      <c r="B845" t="n">
        <v>13290</v>
      </c>
      <c r="C845" t="n">
        <v>27000</v>
      </c>
      <c r="D845" t="n">
        <v>1</v>
      </c>
      <c r="E845">
        <f>HYPERLINK("file:///C:/Users/anye forti/Desktop/2025 FALL/426 COSC/YOLO_TESTING/bbox-snapshots/frame04440_id13290.png", "frame04440_id13290.png")</f>
        <v/>
      </c>
    </row>
    <row r="846">
      <c r="A846" t="n">
        <v>4445</v>
      </c>
      <c r="B846" t="n">
        <v>13362</v>
      </c>
      <c r="C846" t="n">
        <v>55118</v>
      </c>
      <c r="D846" t="n">
        <v>1</v>
      </c>
      <c r="E846">
        <f>HYPERLINK("file:///C:/Users/anye forti/Desktop/2025 FALL/426 COSC/YOLO_TESTING/bbox-snapshots/frame04445_id13362.png", "frame04445_id13362.png")</f>
        <v/>
      </c>
    </row>
    <row r="847">
      <c r="A847" t="n">
        <v>4445</v>
      </c>
      <c r="B847" t="n">
        <v>13230</v>
      </c>
      <c r="C847" t="n">
        <v>44974</v>
      </c>
      <c r="D847" t="n">
        <v>1</v>
      </c>
      <c r="E847">
        <f>HYPERLINK("file:///C:/Users/anye forti/Desktop/2025 FALL/426 COSC/YOLO_TESTING/bbox-snapshots/frame04445_id13230.png", "frame04445_id13230.png")</f>
        <v/>
      </c>
    </row>
    <row r="848">
      <c r="A848" t="n">
        <v>4452</v>
      </c>
      <c r="B848" t="n">
        <v>13297</v>
      </c>
      <c r="C848" t="n">
        <v>52536</v>
      </c>
      <c r="D848" t="n">
        <v>1</v>
      </c>
      <c r="E848">
        <f>HYPERLINK("file:///C:/Users/anye forti/Desktop/2025 FALL/426 COSC/YOLO_TESTING/bbox-snapshots/frame04452_id13297.png", "frame04452_id13297.png")</f>
        <v/>
      </c>
    </row>
    <row r="849">
      <c r="A849" t="n">
        <v>4454</v>
      </c>
      <c r="B849" t="n">
        <v>13310</v>
      </c>
      <c r="C849" t="n">
        <v>37400</v>
      </c>
      <c r="D849" t="n">
        <v>1</v>
      </c>
      <c r="E849">
        <f>HYPERLINK("file:///C:/Users/anye forti/Desktop/2025 FALL/426 COSC/YOLO_TESTING/bbox-snapshots/frame04454_id13310.png", "frame04454_id13310.png")</f>
        <v/>
      </c>
    </row>
    <row r="850">
      <c r="A850" t="n">
        <v>4459</v>
      </c>
      <c r="B850" t="n">
        <v>13337</v>
      </c>
      <c r="C850" t="n">
        <v>44589</v>
      </c>
      <c r="D850" t="n">
        <v>1</v>
      </c>
      <c r="E850">
        <f>HYPERLINK("file:///C:/Users/anye forti/Desktop/2025 FALL/426 COSC/YOLO_TESTING/bbox-snapshots/frame04459_id13337.png", "frame04459_id13337.png")</f>
        <v/>
      </c>
    </row>
    <row r="851">
      <c r="A851" t="n">
        <v>4462</v>
      </c>
      <c r="B851" t="n">
        <v>13375</v>
      </c>
      <c r="C851" t="n">
        <v>75200</v>
      </c>
      <c r="D851" t="n">
        <v>2</v>
      </c>
      <c r="E851">
        <f>HYPERLINK("file:///C:/Users/anye forti/Desktop/2025 FALL/426 COSC/YOLO_TESTING/bbox-snapshots/frame04462_id13375.png", "frame04462_id13375.png")</f>
        <v/>
      </c>
    </row>
    <row r="852">
      <c r="A852" t="n">
        <v>4469</v>
      </c>
      <c r="B852" t="n">
        <v>13425</v>
      </c>
      <c r="C852" t="n">
        <v>17250</v>
      </c>
      <c r="D852" t="n">
        <v>1</v>
      </c>
      <c r="E852">
        <f>HYPERLINK("file:///C:/Users/anye forti/Desktop/2025 FALL/426 COSC/YOLO_TESTING/bbox-snapshots/frame04469_id13425.png", "frame04469_id13425.png")</f>
        <v/>
      </c>
    </row>
    <row r="853">
      <c r="A853" t="n">
        <v>4489</v>
      </c>
      <c r="B853" t="n">
        <v>13430</v>
      </c>
      <c r="C853" t="n">
        <v>36774</v>
      </c>
      <c r="D853" t="n">
        <v>1</v>
      </c>
      <c r="E853">
        <f>HYPERLINK("file:///C:/Users/anye forti/Desktop/2025 FALL/426 COSC/YOLO_TESTING/bbox-snapshots/frame04489_id13430.png", "frame04489_id13430.png")</f>
        <v/>
      </c>
    </row>
    <row r="854">
      <c r="A854" t="n">
        <v>4497</v>
      </c>
      <c r="B854" t="n">
        <v>13452</v>
      </c>
      <c r="C854" t="n">
        <v>60112</v>
      </c>
      <c r="D854" t="n">
        <v>2</v>
      </c>
      <c r="E854">
        <f>HYPERLINK("file:///C:/Users/anye forti/Desktop/2025 FALL/426 COSC/YOLO_TESTING/bbox-snapshots/frame04497_id13452.png", "frame04497_id13452.png")</f>
        <v/>
      </c>
    </row>
    <row r="855">
      <c r="A855" t="n">
        <v>4506</v>
      </c>
      <c r="B855" t="n">
        <v>13471</v>
      </c>
      <c r="C855" t="n">
        <v>34592</v>
      </c>
      <c r="D855" t="n">
        <v>1</v>
      </c>
      <c r="E855">
        <f>HYPERLINK("file:///C:/Users/anye forti/Desktop/2025 FALL/426 COSC/YOLO_TESTING/bbox-snapshots/frame04506_id13471.png", "frame04506_id13471.png")</f>
        <v/>
      </c>
    </row>
    <row r="856">
      <c r="A856" t="n">
        <v>4515</v>
      </c>
      <c r="B856" t="n">
        <v>13478</v>
      </c>
      <c r="C856" t="n">
        <v>41724</v>
      </c>
      <c r="D856" t="n">
        <v>1</v>
      </c>
      <c r="E856">
        <f>HYPERLINK("file:///C:/Users/anye forti/Desktop/2025 FALL/426 COSC/YOLO_TESTING/bbox-snapshots/frame04515_id13478.png", "frame04515_id13478.png")</f>
        <v/>
      </c>
    </row>
    <row r="857">
      <c r="A857" t="n">
        <v>4517</v>
      </c>
      <c r="B857" t="n">
        <v>13501</v>
      </c>
      <c r="C857" t="n">
        <v>41065</v>
      </c>
      <c r="D857" t="n">
        <v>1</v>
      </c>
      <c r="E857">
        <f>HYPERLINK("file:///C:/Users/anye forti/Desktop/2025 FALL/426 COSC/YOLO_TESTING/bbox-snapshots/frame04517_id13501.png", "frame04517_id13501.png")</f>
        <v/>
      </c>
    </row>
    <row r="858">
      <c r="A858" t="n">
        <v>4524</v>
      </c>
      <c r="B858" t="n">
        <v>13479</v>
      </c>
      <c r="C858" t="n">
        <v>27714</v>
      </c>
      <c r="D858" t="n">
        <v>1</v>
      </c>
      <c r="E858">
        <f>HYPERLINK("file:///C:/Users/anye forti/Desktop/2025 FALL/426 COSC/YOLO_TESTING/bbox-snapshots/frame04524_id13479.png", "frame04524_id13479.png")</f>
        <v/>
      </c>
    </row>
    <row r="859">
      <c r="A859" t="n">
        <v>4528</v>
      </c>
      <c r="B859" t="n">
        <v>13491</v>
      </c>
      <c r="C859" t="n">
        <v>41302</v>
      </c>
      <c r="D859" t="n">
        <v>1</v>
      </c>
      <c r="E859">
        <f>HYPERLINK("file:///C:/Users/anye forti/Desktop/2025 FALL/426 COSC/YOLO_TESTING/bbox-snapshots/frame04528_id13491.png", "frame04528_id13491.png")</f>
        <v/>
      </c>
    </row>
    <row r="860">
      <c r="A860" t="n">
        <v>4544</v>
      </c>
      <c r="B860" t="n">
        <v>13521</v>
      </c>
      <c r="C860" t="n">
        <v>50388</v>
      </c>
      <c r="D860" t="n">
        <v>1</v>
      </c>
      <c r="E860">
        <f>HYPERLINK("file:///C:/Users/anye forti/Desktop/2025 FALL/426 COSC/YOLO_TESTING/bbox-snapshots/frame04544_id13521.png", "frame04544_id13521.png")</f>
        <v/>
      </c>
    </row>
    <row r="861">
      <c r="A861" t="n">
        <v>4560</v>
      </c>
      <c r="B861" t="n">
        <v>13549</v>
      </c>
      <c r="C861" t="n">
        <v>37665</v>
      </c>
      <c r="D861" t="n">
        <v>1</v>
      </c>
      <c r="E861">
        <f>HYPERLINK("file:///C:/Users/anye forti/Desktop/2025 FALL/426 COSC/YOLO_TESTING/bbox-snapshots/frame04560_id13549.png", "frame04560_id13549.png")</f>
        <v/>
      </c>
    </row>
    <row r="862">
      <c r="A862" t="n">
        <v>4560</v>
      </c>
      <c r="B862" t="n">
        <v>13554</v>
      </c>
      <c r="C862" t="n">
        <v>47294</v>
      </c>
      <c r="D862" t="n">
        <v>1</v>
      </c>
      <c r="E862">
        <f>HYPERLINK("file:///C:/Users/anye forti/Desktop/2025 FALL/426 COSC/YOLO_TESTING/bbox-snapshots/frame04560_id13554.png", "frame04560_id13554.png")</f>
        <v/>
      </c>
    </row>
    <row r="863">
      <c r="A863" t="n">
        <v>4572</v>
      </c>
      <c r="B863" t="n">
        <v>13670</v>
      </c>
      <c r="C863" t="n">
        <v>14536</v>
      </c>
      <c r="D863" t="n">
        <v>1</v>
      </c>
      <c r="E863">
        <f>HYPERLINK("file:///C:/Users/anye forti/Desktop/2025 FALL/426 COSC/YOLO_TESTING/bbox-snapshots/frame04572_id13670.png", "frame04572_id13670.png")</f>
        <v/>
      </c>
    </row>
    <row r="864">
      <c r="A864" t="n">
        <v>4574</v>
      </c>
      <c r="B864" t="n">
        <v>13621</v>
      </c>
      <c r="C864" t="n">
        <v>49280</v>
      </c>
      <c r="D864" t="n">
        <v>1</v>
      </c>
      <c r="E864">
        <f>HYPERLINK("file:///C:/Users/anye forti/Desktop/2025 FALL/426 COSC/YOLO_TESTING/bbox-snapshots/frame04574_id13621.png", "frame04574_id13621.png")</f>
        <v/>
      </c>
    </row>
    <row r="865">
      <c r="A865" t="n">
        <v>4578</v>
      </c>
      <c r="B865" t="n">
        <v>13608</v>
      </c>
      <c r="C865" t="n">
        <v>29920</v>
      </c>
      <c r="D865" t="n">
        <v>1</v>
      </c>
      <c r="E865">
        <f>HYPERLINK("file:///C:/Users/anye forti/Desktop/2025 FALL/426 COSC/YOLO_TESTING/bbox-snapshots/frame04578_id13608.png", "frame04578_id13608.png")</f>
        <v/>
      </c>
    </row>
    <row r="866">
      <c r="A866" t="n">
        <v>4579</v>
      </c>
      <c r="B866" t="n">
        <v>13701</v>
      </c>
      <c r="C866" t="n">
        <v>21328</v>
      </c>
      <c r="D866" t="n">
        <v>1</v>
      </c>
      <c r="E866">
        <f>HYPERLINK("file:///C:/Users/anye forti/Desktop/2025 FALL/426 COSC/YOLO_TESTING/bbox-snapshots/frame04579_id13701.png", "frame04579_id13701.png")</f>
        <v/>
      </c>
    </row>
    <row r="867">
      <c r="A867" t="n">
        <v>4581</v>
      </c>
      <c r="B867" t="n">
        <v>13593</v>
      </c>
      <c r="C867" t="n">
        <v>55714</v>
      </c>
      <c r="D867" t="n">
        <v>1</v>
      </c>
      <c r="E867">
        <f>HYPERLINK("file:///C:/Users/anye forti/Desktop/2025 FALL/426 COSC/YOLO_TESTING/bbox-snapshots/frame04581_id13593.png", "frame04581_id13593.png")</f>
        <v/>
      </c>
    </row>
    <row r="868">
      <c r="A868" t="n">
        <v>4583</v>
      </c>
      <c r="B868" t="n">
        <v>13646</v>
      </c>
      <c r="C868" t="n">
        <v>52924</v>
      </c>
      <c r="D868" t="n">
        <v>1</v>
      </c>
      <c r="E868">
        <f>HYPERLINK("file:///C:/Users/anye forti/Desktop/2025 FALL/426 COSC/YOLO_TESTING/bbox-snapshots/frame04583_id13646.png", "frame04583_id13646.png")</f>
        <v/>
      </c>
    </row>
    <row r="869">
      <c r="A869" t="n">
        <v>4601</v>
      </c>
      <c r="B869" t="n">
        <v>13611</v>
      </c>
      <c r="C869" t="n">
        <v>43259</v>
      </c>
      <c r="D869" t="n">
        <v>1</v>
      </c>
      <c r="E869">
        <f>HYPERLINK("file:///C:/Users/anye forti/Desktop/2025 FALL/426 COSC/YOLO_TESTING/bbox-snapshots/frame04601_id13611.png", "frame04601_id13611.png")</f>
        <v/>
      </c>
    </row>
    <row r="870">
      <c r="A870" t="n">
        <v>4606</v>
      </c>
      <c r="B870" t="n">
        <v>13707</v>
      </c>
      <c r="C870" t="n">
        <v>62525</v>
      </c>
      <c r="D870" t="n">
        <v>2</v>
      </c>
      <c r="E870">
        <f>HYPERLINK("file:///C:/Users/anye forti/Desktop/2025 FALL/426 COSC/YOLO_TESTING/bbox-snapshots/frame04606_id13707.png", "frame04606_id13707.png")</f>
        <v/>
      </c>
    </row>
    <row r="871">
      <c r="A871" t="n">
        <v>4622</v>
      </c>
      <c r="B871" t="n">
        <v>13769</v>
      </c>
      <c r="C871" t="n">
        <v>31824</v>
      </c>
      <c r="D871" t="n">
        <v>1</v>
      </c>
      <c r="E871">
        <f>HYPERLINK("file:///C:/Users/anye forti/Desktop/2025 FALL/426 COSC/YOLO_TESTING/bbox-snapshots/frame04622_id13769.png", "frame04622_id13769.png")</f>
        <v/>
      </c>
    </row>
    <row r="872">
      <c r="A872" t="n">
        <v>4623</v>
      </c>
      <c r="B872" t="n">
        <v>13773</v>
      </c>
      <c r="C872" t="n">
        <v>36218</v>
      </c>
      <c r="D872" t="n">
        <v>1</v>
      </c>
      <c r="E872">
        <f>HYPERLINK("file:///C:/Users/anye forti/Desktop/2025 FALL/426 COSC/YOLO_TESTING/bbox-snapshots/frame04623_id13773.png", "frame04623_id13773.png")</f>
        <v/>
      </c>
    </row>
    <row r="873">
      <c r="A873" t="n">
        <v>4636</v>
      </c>
      <c r="B873" t="n">
        <v>13794</v>
      </c>
      <c r="C873" t="n">
        <v>45828</v>
      </c>
      <c r="D873" t="n">
        <v>1</v>
      </c>
      <c r="E873">
        <f>HYPERLINK("file:///C:/Users/anye forti/Desktop/2025 FALL/426 COSC/YOLO_TESTING/bbox-snapshots/frame04636_id13794.png", "frame04636_id13794.png")</f>
        <v/>
      </c>
    </row>
    <row r="874">
      <c r="A874" t="n">
        <v>4638</v>
      </c>
      <c r="B874" t="n">
        <v>13783</v>
      </c>
      <c r="C874" t="n">
        <v>83146</v>
      </c>
      <c r="D874" t="n">
        <v>2</v>
      </c>
      <c r="E874">
        <f>HYPERLINK("file:///C:/Users/anye forti/Desktop/2025 FALL/426 COSC/YOLO_TESTING/bbox-snapshots/frame04638_id13783.png", "frame04638_id13783.png")</f>
        <v/>
      </c>
    </row>
    <row r="875">
      <c r="A875" t="n">
        <v>4647</v>
      </c>
      <c r="B875" t="n">
        <v>13825</v>
      </c>
      <c r="C875" t="n">
        <v>51612</v>
      </c>
      <c r="D875" t="n">
        <v>1</v>
      </c>
      <c r="E875">
        <f>HYPERLINK("file:///C:/Users/anye forti/Desktop/2025 FALL/426 COSC/YOLO_TESTING/bbox-snapshots/frame04647_id13825.png", "frame04647_id13825.png")</f>
        <v/>
      </c>
    </row>
    <row r="876">
      <c r="A876" t="n">
        <v>4658</v>
      </c>
      <c r="B876" t="n">
        <v>13855</v>
      </c>
      <c r="C876" t="n">
        <v>42900</v>
      </c>
      <c r="D876" t="n">
        <v>1</v>
      </c>
      <c r="E876">
        <f>HYPERLINK("file:///C:/Users/anye forti/Desktop/2025 FALL/426 COSC/YOLO_TESTING/bbox-snapshots/frame04658_id13855.png", "frame04658_id13855.png")</f>
        <v/>
      </c>
    </row>
    <row r="877">
      <c r="A877" t="n">
        <v>4661</v>
      </c>
      <c r="B877" t="n">
        <v>13842</v>
      </c>
      <c r="C877" t="n">
        <v>54340</v>
      </c>
      <c r="D877" t="n">
        <v>1</v>
      </c>
      <c r="E877">
        <f>HYPERLINK("file:///C:/Users/anye forti/Desktop/2025 FALL/426 COSC/YOLO_TESTING/bbox-snapshots/frame04661_id13842.png", "frame04661_id13842.png")</f>
        <v/>
      </c>
    </row>
    <row r="878">
      <c r="A878" t="n">
        <v>4663</v>
      </c>
      <c r="B878" t="n">
        <v>13841</v>
      </c>
      <c r="C878" t="n">
        <v>42330</v>
      </c>
      <c r="D878" t="n">
        <v>1</v>
      </c>
      <c r="E878">
        <f>HYPERLINK("file:///C:/Users/anye forti/Desktop/2025 FALL/426 COSC/YOLO_TESTING/bbox-snapshots/frame04663_id13841.png", "frame04663_id13841.png")</f>
        <v/>
      </c>
    </row>
    <row r="879">
      <c r="A879" t="n">
        <v>4665</v>
      </c>
      <c r="B879" t="n">
        <v>13876</v>
      </c>
      <c r="C879" t="n">
        <v>22440</v>
      </c>
      <c r="D879" t="n">
        <v>1</v>
      </c>
      <c r="E879">
        <f>HYPERLINK("file:///C:/Users/anye forti/Desktop/2025 FALL/426 COSC/YOLO_TESTING/bbox-snapshots/frame04665_id13876.png", "frame04665_id13876.png")</f>
        <v/>
      </c>
    </row>
    <row r="880">
      <c r="A880" t="n">
        <v>4669</v>
      </c>
      <c r="B880" t="n">
        <v>13826</v>
      </c>
      <c r="C880" t="n">
        <v>17172</v>
      </c>
      <c r="D880" t="n">
        <v>1</v>
      </c>
      <c r="E880">
        <f>HYPERLINK("file:///C:/Users/anye forti/Desktop/2025 FALL/426 COSC/YOLO_TESTING/bbox-snapshots/frame04669_id13826.png", "frame04669_id13826.png")</f>
        <v/>
      </c>
    </row>
    <row r="881">
      <c r="A881" t="n">
        <v>4671</v>
      </c>
      <c r="B881" t="n">
        <v>13897</v>
      </c>
      <c r="C881" t="n">
        <v>47500</v>
      </c>
      <c r="D881" t="n">
        <v>1</v>
      </c>
      <c r="E881">
        <f>HYPERLINK("file:///C:/Users/anye forti/Desktop/2025 FALL/426 COSC/YOLO_TESTING/bbox-snapshots/frame04671_id13897.png", "frame04671_id13897.png")</f>
        <v/>
      </c>
    </row>
    <row r="882">
      <c r="A882" t="n">
        <v>4678</v>
      </c>
      <c r="B882" t="n">
        <v>13905</v>
      </c>
      <c r="C882" t="n">
        <v>46872</v>
      </c>
      <c r="D882" t="n">
        <v>1</v>
      </c>
      <c r="E882">
        <f>HYPERLINK("file:///C:/Users/anye forti/Desktop/2025 FALL/426 COSC/YOLO_TESTING/bbox-snapshots/frame04678_id13905.png", "frame04678_id13905.png")</f>
        <v/>
      </c>
    </row>
    <row r="883">
      <c r="A883" t="n">
        <v>4693</v>
      </c>
      <c r="B883" t="n">
        <v>13973</v>
      </c>
      <c r="C883" t="n">
        <v>41552</v>
      </c>
      <c r="D883" t="n">
        <v>1</v>
      </c>
      <c r="E883">
        <f>HYPERLINK("file:///C:/Users/anye forti/Desktop/2025 FALL/426 COSC/YOLO_TESTING/bbox-snapshots/frame04693_id13973.png", "frame04693_id13973.png")</f>
        <v/>
      </c>
    </row>
    <row r="884">
      <c r="A884" t="n">
        <v>4693</v>
      </c>
      <c r="B884" t="n">
        <v>13988</v>
      </c>
      <c r="C884" t="n">
        <v>36096</v>
      </c>
      <c r="D884" t="n">
        <v>1</v>
      </c>
      <c r="E884">
        <f>HYPERLINK("file:///C:/Users/anye forti/Desktop/2025 FALL/426 COSC/YOLO_TESTING/bbox-snapshots/frame04693_id13988.png", "frame04693_id13988.png")</f>
        <v/>
      </c>
    </row>
    <row r="885">
      <c r="A885" t="n">
        <v>4695</v>
      </c>
      <c r="B885" t="n">
        <v>13934</v>
      </c>
      <c r="C885" t="n">
        <v>30800</v>
      </c>
      <c r="D885" t="n">
        <v>1</v>
      </c>
      <c r="E885">
        <f>HYPERLINK("file:///C:/Users/anye forti/Desktop/2025 FALL/426 COSC/YOLO_TESTING/bbox-snapshots/frame04695_id13934.png", "frame04695_id13934.png")</f>
        <v/>
      </c>
    </row>
    <row r="886">
      <c r="A886" t="n">
        <v>4700</v>
      </c>
      <c r="B886" t="n">
        <v>14004</v>
      </c>
      <c r="C886" t="n">
        <v>42785</v>
      </c>
      <c r="D886" t="n">
        <v>1</v>
      </c>
      <c r="E886">
        <f>HYPERLINK("file:///C:/Users/anye forti/Desktop/2025 FALL/426 COSC/YOLO_TESTING/bbox-snapshots/frame04700_id14004.png", "frame04700_id14004.png")</f>
        <v/>
      </c>
    </row>
    <row r="887">
      <c r="A887" t="n">
        <v>4705</v>
      </c>
      <c r="B887" t="n">
        <v>14032</v>
      </c>
      <c r="C887" t="n">
        <v>52002</v>
      </c>
      <c r="D887" t="n">
        <v>1</v>
      </c>
      <c r="E887">
        <f>HYPERLINK("file:///C:/Users/anye forti/Desktop/2025 FALL/426 COSC/YOLO_TESTING/bbox-snapshots/frame04705_id14032.png", "frame04705_id14032.png")</f>
        <v/>
      </c>
    </row>
    <row r="888">
      <c r="A888" t="n">
        <v>4709</v>
      </c>
      <c r="B888" t="n">
        <v>14043</v>
      </c>
      <c r="C888" t="n">
        <v>35126</v>
      </c>
      <c r="D888" t="n">
        <v>1</v>
      </c>
      <c r="E888">
        <f>HYPERLINK("file:///C:/Users/anye forti/Desktop/2025 FALL/426 COSC/YOLO_TESTING/bbox-snapshots/frame04709_id14043.png", "frame04709_id14043.png")</f>
        <v/>
      </c>
    </row>
    <row r="889">
      <c r="A889" t="n">
        <v>4715</v>
      </c>
      <c r="B889" t="n">
        <v>14061</v>
      </c>
      <c r="C889" t="n">
        <v>31718</v>
      </c>
      <c r="D889" t="n">
        <v>1</v>
      </c>
      <c r="E889">
        <f>HYPERLINK("file:///C:/Users/anye forti/Desktop/2025 FALL/426 COSC/YOLO_TESTING/bbox-snapshots/frame04715_id14061.png", "frame04715_id14061.png")</f>
        <v/>
      </c>
    </row>
    <row r="890">
      <c r="A890" t="n">
        <v>4720</v>
      </c>
      <c r="B890" t="n">
        <v>14053</v>
      </c>
      <c r="C890" t="n">
        <v>85089</v>
      </c>
      <c r="D890" t="n">
        <v>2</v>
      </c>
      <c r="E890">
        <f>HYPERLINK("file:///C:/Users/anye forti/Desktop/2025 FALL/426 COSC/YOLO_TESTING/bbox-snapshots/frame04720_id14053.png", "frame04720_id14053.png")</f>
        <v/>
      </c>
    </row>
    <row r="891">
      <c r="A891" t="n">
        <v>4722</v>
      </c>
      <c r="B891" t="n">
        <v>14071</v>
      </c>
      <c r="C891" t="n">
        <v>54662</v>
      </c>
      <c r="D891" t="n">
        <v>1</v>
      </c>
      <c r="E891">
        <f>HYPERLINK("file:///C:/Users/anye forti/Desktop/2025 FALL/426 COSC/YOLO_TESTING/bbox-snapshots/frame04722_id14071.png", "frame04722_id14071.png")</f>
        <v/>
      </c>
    </row>
    <row r="892">
      <c r="A892" t="n">
        <v>4727</v>
      </c>
      <c r="B892" t="n">
        <v>14101</v>
      </c>
      <c r="C892" t="n">
        <v>55856</v>
      </c>
      <c r="D892" t="n">
        <v>1</v>
      </c>
      <c r="E892">
        <f>HYPERLINK("file:///C:/Users/anye forti/Desktop/2025 FALL/426 COSC/YOLO_TESTING/bbox-snapshots/frame04727_id14101.png", "frame04727_id14101.png")</f>
        <v/>
      </c>
    </row>
    <row r="893">
      <c r="A893" t="n">
        <v>4735</v>
      </c>
      <c r="B893" t="n">
        <v>14113</v>
      </c>
      <c r="C893" t="n">
        <v>38009</v>
      </c>
      <c r="D893" t="n">
        <v>1</v>
      </c>
      <c r="E893">
        <f>HYPERLINK("file:///C:/Users/anye forti/Desktop/2025 FALL/426 COSC/YOLO_TESTING/bbox-snapshots/frame04735_id14113.png", "frame04735_id14113.png")</f>
        <v/>
      </c>
    </row>
    <row r="894">
      <c r="A894" t="n">
        <v>4738</v>
      </c>
      <c r="B894" t="n">
        <v>14110</v>
      </c>
      <c r="C894" t="n">
        <v>55836</v>
      </c>
      <c r="D894" t="n">
        <v>1</v>
      </c>
      <c r="E894">
        <f>HYPERLINK("file:///C:/Users/anye forti/Desktop/2025 FALL/426 COSC/YOLO_TESTING/bbox-snapshots/frame04738_id14110.png", "frame04738_id14110.png")</f>
        <v/>
      </c>
    </row>
    <row r="895">
      <c r="A895" t="n">
        <v>4746</v>
      </c>
      <c r="B895" t="n">
        <v>14138</v>
      </c>
      <c r="C895" t="n">
        <v>51522</v>
      </c>
      <c r="D895" t="n">
        <v>1</v>
      </c>
      <c r="E895">
        <f>HYPERLINK("file:///C:/Users/anye forti/Desktop/2025 FALL/426 COSC/YOLO_TESTING/bbox-snapshots/frame04746_id14138.png", "frame04746_id14138.png")</f>
        <v/>
      </c>
    </row>
    <row r="896">
      <c r="A896" t="n">
        <v>4748</v>
      </c>
      <c r="B896" t="n">
        <v>14134</v>
      </c>
      <c r="C896" t="n">
        <v>51404</v>
      </c>
      <c r="D896" t="n">
        <v>1</v>
      </c>
      <c r="E896">
        <f>HYPERLINK("file:///C:/Users/anye forti/Desktop/2025 FALL/426 COSC/YOLO_TESTING/bbox-snapshots/frame04748_id14134.png", "frame04748_id14134.png")</f>
        <v/>
      </c>
    </row>
    <row r="897">
      <c r="A897" t="n">
        <v>4755</v>
      </c>
      <c r="B897" t="n">
        <v>14170</v>
      </c>
      <c r="C897" t="n">
        <v>45696</v>
      </c>
      <c r="D897" t="n">
        <v>1</v>
      </c>
      <c r="E897">
        <f>HYPERLINK("file:///C:/Users/anye forti/Desktop/2025 FALL/426 COSC/YOLO_TESTING/bbox-snapshots/frame04755_id14170.png", "frame04755_id14170.png")</f>
        <v/>
      </c>
    </row>
    <row r="898">
      <c r="A898" t="n">
        <v>4759</v>
      </c>
      <c r="B898" t="n">
        <v>14172</v>
      </c>
      <c r="C898" t="n">
        <v>23875</v>
      </c>
      <c r="D898" t="n">
        <v>1</v>
      </c>
      <c r="E898">
        <f>HYPERLINK("file:///C:/Users/anye forti/Desktop/2025 FALL/426 COSC/YOLO_TESTING/bbox-snapshots/frame04759_id14172.png", "frame04759_id14172.png")</f>
        <v/>
      </c>
    </row>
    <row r="899">
      <c r="A899" t="n">
        <v>4768</v>
      </c>
      <c r="B899" t="n">
        <v>14200</v>
      </c>
      <c r="C899" t="n">
        <v>28731</v>
      </c>
      <c r="D899" t="n">
        <v>1</v>
      </c>
      <c r="E899">
        <f>HYPERLINK("file:///C:/Users/anye forti/Desktop/2025 FALL/426 COSC/YOLO_TESTING/bbox-snapshots/frame04768_id14200.png", "frame04768_id14200.png")</f>
        <v/>
      </c>
    </row>
    <row r="900">
      <c r="A900" t="n">
        <v>4768</v>
      </c>
      <c r="B900" t="n">
        <v>14205</v>
      </c>
      <c r="C900" t="n">
        <v>41810</v>
      </c>
      <c r="D900" t="n">
        <v>1</v>
      </c>
      <c r="E900">
        <f>HYPERLINK("file:///C:/Users/anye forti/Desktop/2025 FALL/426 COSC/YOLO_TESTING/bbox-snapshots/frame04768_id14205.png", "frame04768_id14205.png")</f>
        <v/>
      </c>
    </row>
    <row r="901">
      <c r="A901" t="n">
        <v>4772</v>
      </c>
      <c r="B901" t="n">
        <v>14221</v>
      </c>
      <c r="C901" t="n">
        <v>42525</v>
      </c>
      <c r="D901" t="n">
        <v>1</v>
      </c>
      <c r="E901">
        <f>HYPERLINK("file:///C:/Users/anye forti/Desktop/2025 FALL/426 COSC/YOLO_TESTING/bbox-snapshots/frame04772_id14221.png", "frame04772_id14221.png")</f>
        <v/>
      </c>
    </row>
    <row r="902">
      <c r="A902" t="n">
        <v>4778</v>
      </c>
      <c r="B902" t="n">
        <v>14248</v>
      </c>
      <c r="C902" t="n">
        <v>12936</v>
      </c>
      <c r="D902" t="n">
        <v>1</v>
      </c>
      <c r="E902">
        <f>HYPERLINK("file:///C:/Users/anye forti/Desktop/2025 FALL/426 COSC/YOLO_TESTING/bbox-snapshots/frame04778_id14248.png", "frame04778_id14248.png")</f>
        <v/>
      </c>
    </row>
    <row r="903">
      <c r="A903" t="n">
        <v>4791</v>
      </c>
      <c r="B903" t="n">
        <v>14266</v>
      </c>
      <c r="C903" t="n">
        <v>27378</v>
      </c>
      <c r="D903" t="n">
        <v>1</v>
      </c>
      <c r="E903">
        <f>HYPERLINK("file:///C:/Users/anye forti/Desktop/2025 FALL/426 COSC/YOLO_TESTING/bbox-snapshots/frame04791_id14266.png", "frame04791_id14266.png")</f>
        <v/>
      </c>
    </row>
    <row r="904">
      <c r="A904" t="n">
        <v>4792</v>
      </c>
      <c r="B904" t="n">
        <v>14272</v>
      </c>
      <c r="C904" t="n">
        <v>35525</v>
      </c>
      <c r="D904" t="n">
        <v>1</v>
      </c>
      <c r="E904">
        <f>HYPERLINK("file:///C:/Users/anye forti/Desktop/2025 FALL/426 COSC/YOLO_TESTING/bbox-snapshots/frame04792_id14272.png", "frame04792_id14272.png")</f>
        <v/>
      </c>
    </row>
    <row r="905">
      <c r="A905" t="n">
        <v>4814</v>
      </c>
      <c r="B905" t="n">
        <v>14306</v>
      </c>
      <c r="C905" t="n">
        <v>63332</v>
      </c>
      <c r="D905" t="n">
        <v>2</v>
      </c>
      <c r="E905">
        <f>HYPERLINK("file:///C:/Users/anye forti/Desktop/2025 FALL/426 COSC/YOLO_TESTING/bbox-snapshots/frame04814_id14306.png", "frame04814_id14306.png")</f>
        <v/>
      </c>
    </row>
    <row r="906">
      <c r="A906" t="n">
        <v>4818</v>
      </c>
      <c r="B906" t="n">
        <v>14303</v>
      </c>
      <c r="C906" t="n">
        <v>48420</v>
      </c>
      <c r="D906" t="n">
        <v>1</v>
      </c>
      <c r="E906">
        <f>HYPERLINK("file:///C:/Users/anye forti/Desktop/2025 FALL/426 COSC/YOLO_TESTING/bbox-snapshots/frame04818_id14303.png", "frame04818_id14303.png")</f>
        <v/>
      </c>
    </row>
    <row r="907">
      <c r="A907" t="n">
        <v>4822</v>
      </c>
      <c r="B907" t="n">
        <v>14317</v>
      </c>
      <c r="C907" t="n">
        <v>30012</v>
      </c>
      <c r="D907" t="n">
        <v>1</v>
      </c>
      <c r="E907">
        <f>HYPERLINK("file:///C:/Users/anye forti/Desktop/2025 FALL/426 COSC/YOLO_TESTING/bbox-snapshots/frame04822_id14317.png", "frame04822_id14317.png")</f>
        <v/>
      </c>
    </row>
    <row r="908">
      <c r="A908" t="n">
        <v>4827</v>
      </c>
      <c r="B908" t="n">
        <v>14339</v>
      </c>
      <c r="C908" t="n">
        <v>58176</v>
      </c>
      <c r="D908" t="n">
        <v>1</v>
      </c>
      <c r="E908">
        <f>HYPERLINK("file:///C:/Users/anye forti/Desktop/2025 FALL/426 COSC/YOLO_TESTING/bbox-snapshots/frame04827_id14339.png", "frame04827_id14339.png")</f>
        <v/>
      </c>
    </row>
    <row r="909">
      <c r="A909" t="n">
        <v>4829</v>
      </c>
      <c r="B909" t="n">
        <v>14336</v>
      </c>
      <c r="C909" t="n">
        <v>43688</v>
      </c>
      <c r="D909" t="n">
        <v>1</v>
      </c>
      <c r="E909">
        <f>HYPERLINK("file:///C:/Users/anye forti/Desktop/2025 FALL/426 COSC/YOLO_TESTING/bbox-snapshots/frame04829_id14336.png", "frame04829_id14336.png")</f>
        <v/>
      </c>
    </row>
    <row r="910">
      <c r="A910" t="n">
        <v>4836</v>
      </c>
      <c r="B910" t="n">
        <v>14342</v>
      </c>
      <c r="C910" t="n">
        <v>36993</v>
      </c>
      <c r="D910" t="n">
        <v>1</v>
      </c>
      <c r="E910">
        <f>HYPERLINK("file:///C:/Users/anye forti/Desktop/2025 FALL/426 COSC/YOLO_TESTING/bbox-snapshots/frame04836_id14342.png", "frame04836_id14342.png")</f>
        <v/>
      </c>
    </row>
    <row r="911">
      <c r="A911" t="n">
        <v>4841</v>
      </c>
      <c r="B911" t="n">
        <v>14348</v>
      </c>
      <c r="C911" t="n">
        <v>38024</v>
      </c>
      <c r="D911" t="n">
        <v>1</v>
      </c>
      <c r="E911">
        <f>HYPERLINK("file:///C:/Users/anye forti/Desktop/2025 FALL/426 COSC/YOLO_TESTING/bbox-snapshots/frame04841_id14348.png", "frame04841_id14348.png")</f>
        <v/>
      </c>
    </row>
    <row r="912">
      <c r="A912" t="n">
        <v>4849</v>
      </c>
      <c r="B912" t="n">
        <v>14381</v>
      </c>
      <c r="C912" t="n">
        <v>38808</v>
      </c>
      <c r="D912" t="n">
        <v>1</v>
      </c>
      <c r="E912">
        <f>HYPERLINK("file:///C:/Users/anye forti/Desktop/2025 FALL/426 COSC/YOLO_TESTING/bbox-snapshots/frame04849_id14381.png", "frame04849_id14381.png")</f>
        <v/>
      </c>
    </row>
    <row r="913">
      <c r="A913" t="n">
        <v>4852</v>
      </c>
      <c r="B913" t="n">
        <v>14375</v>
      </c>
      <c r="C913" t="n">
        <v>65052</v>
      </c>
      <c r="D913" t="n">
        <v>2</v>
      </c>
      <c r="E913">
        <f>HYPERLINK("file:///C:/Users/anye forti/Desktop/2025 FALL/426 COSC/YOLO_TESTING/bbox-snapshots/frame04852_id14375.png", "frame04852_id14375.png")</f>
        <v/>
      </c>
    </row>
    <row r="914">
      <c r="A914" t="n">
        <v>4852</v>
      </c>
      <c r="B914" t="n">
        <v>14334</v>
      </c>
      <c r="C914" t="n">
        <v>43423</v>
      </c>
      <c r="D914" t="n">
        <v>1</v>
      </c>
      <c r="E914">
        <f>HYPERLINK("file:///C:/Users/anye forti/Desktop/2025 FALL/426 COSC/YOLO_TESTING/bbox-snapshots/frame04852_id14334.png", "frame04852_id14334.png")</f>
        <v/>
      </c>
    </row>
    <row r="915">
      <c r="A915" t="n">
        <v>4860</v>
      </c>
      <c r="B915" t="n">
        <v>14421</v>
      </c>
      <c r="C915" t="n">
        <v>55986</v>
      </c>
      <c r="D915" t="n">
        <v>1</v>
      </c>
      <c r="E915">
        <f>HYPERLINK("file:///C:/Users/anye forti/Desktop/2025 FALL/426 COSC/YOLO_TESTING/bbox-snapshots/frame04860_id14421.png", "frame04860_id14421.png")</f>
        <v/>
      </c>
    </row>
    <row r="916">
      <c r="A916" t="n">
        <v>4861</v>
      </c>
      <c r="B916" t="n">
        <v>14420</v>
      </c>
      <c r="C916" t="n">
        <v>27900</v>
      </c>
      <c r="D916" t="n">
        <v>1</v>
      </c>
      <c r="E916">
        <f>HYPERLINK("file:///C:/Users/anye forti/Desktop/2025 FALL/426 COSC/YOLO_TESTING/bbox-snapshots/frame04861_id14420.png", "frame04861_id14420.png")</f>
        <v/>
      </c>
    </row>
    <row r="917">
      <c r="A917" t="n">
        <v>4869</v>
      </c>
      <c r="B917" t="n">
        <v>14427</v>
      </c>
      <c r="C917" t="n">
        <v>42032</v>
      </c>
      <c r="D917" t="n">
        <v>1</v>
      </c>
      <c r="E917">
        <f>HYPERLINK("file:///C:/Users/anye forti/Desktop/2025 FALL/426 COSC/YOLO_TESTING/bbox-snapshots/frame04869_id14427.png", "frame04869_id14427.png")</f>
        <v/>
      </c>
    </row>
    <row r="918">
      <c r="A918" t="n">
        <v>4872</v>
      </c>
      <c r="B918" t="n">
        <v>14449</v>
      </c>
      <c r="C918" t="n">
        <v>39396</v>
      </c>
      <c r="D918" t="n">
        <v>1</v>
      </c>
      <c r="E918">
        <f>HYPERLINK("file:///C:/Users/anye forti/Desktop/2025 FALL/426 COSC/YOLO_TESTING/bbox-snapshots/frame04872_id14449.png", "frame04872_id14449.png")</f>
        <v/>
      </c>
    </row>
    <row r="919">
      <c r="A919" t="n">
        <v>4875</v>
      </c>
      <c r="B919" t="n">
        <v>14459</v>
      </c>
      <c r="C919" t="n">
        <v>29232</v>
      </c>
      <c r="D919" t="n">
        <v>1</v>
      </c>
      <c r="E919">
        <f>HYPERLINK("file:///C:/Users/anye forti/Desktop/2025 FALL/426 COSC/YOLO_TESTING/bbox-snapshots/frame04875_id14459.png", "frame04875_id14459.png")</f>
        <v/>
      </c>
    </row>
    <row r="920">
      <c r="A920" t="n">
        <v>4877</v>
      </c>
      <c r="B920" t="n">
        <v>14460</v>
      </c>
      <c r="C920" t="n">
        <v>48640</v>
      </c>
      <c r="D920" t="n">
        <v>1</v>
      </c>
      <c r="E920">
        <f>HYPERLINK("file:///C:/Users/anye forti/Desktop/2025 FALL/426 COSC/YOLO_TESTING/bbox-snapshots/frame04877_id14460.png", "frame04877_id14460.png")</f>
        <v/>
      </c>
    </row>
    <row r="921">
      <c r="A921" t="n">
        <v>4890</v>
      </c>
      <c r="B921" t="n">
        <v>14479</v>
      </c>
      <c r="C921" t="n">
        <v>48807</v>
      </c>
      <c r="D921" t="n">
        <v>1</v>
      </c>
      <c r="E921">
        <f>HYPERLINK("file:///C:/Users/anye forti/Desktop/2025 FALL/426 COSC/YOLO_TESTING/bbox-snapshots/frame04890_id14479.png", "frame04890_id14479.png")</f>
        <v/>
      </c>
    </row>
    <row r="922">
      <c r="A922" t="n">
        <v>4905</v>
      </c>
      <c r="B922" t="n">
        <v>14497</v>
      </c>
      <c r="C922" t="n">
        <v>45666</v>
      </c>
      <c r="D922" t="n">
        <v>1</v>
      </c>
      <c r="E922">
        <f>HYPERLINK("file:///C:/Users/anye forti/Desktop/2025 FALL/426 COSC/YOLO_TESTING/bbox-snapshots/frame04905_id14497.png", "frame04905_id14497.png")</f>
        <v/>
      </c>
    </row>
    <row r="923">
      <c r="A923" t="n">
        <v>4911</v>
      </c>
      <c r="B923" t="n">
        <v>14510</v>
      </c>
      <c r="C923" t="n">
        <v>57546</v>
      </c>
      <c r="D923" t="n">
        <v>1</v>
      </c>
      <c r="E923">
        <f>HYPERLINK("file:///C:/Users/anye forti/Desktop/2025 FALL/426 COSC/YOLO_TESTING/bbox-snapshots/frame04911_id14510.png", "frame04911_id14510.png")</f>
        <v/>
      </c>
    </row>
    <row r="924">
      <c r="A924" t="n">
        <v>4917</v>
      </c>
      <c r="B924" t="n">
        <v>14521</v>
      </c>
      <c r="C924" t="n">
        <v>41600</v>
      </c>
      <c r="D924" t="n">
        <v>1</v>
      </c>
      <c r="E924">
        <f>HYPERLINK("file:///C:/Users/anye forti/Desktop/2025 FALL/426 COSC/YOLO_TESTING/bbox-snapshots/frame04917_id14521.png", "frame04917_id14521.png")</f>
        <v/>
      </c>
    </row>
    <row r="925">
      <c r="A925" t="n">
        <v>4927</v>
      </c>
      <c r="B925" t="n">
        <v>14523</v>
      </c>
      <c r="C925" t="n">
        <v>47034</v>
      </c>
      <c r="D925" t="n">
        <v>1</v>
      </c>
      <c r="E925">
        <f>HYPERLINK("file:///C:/Users/anye forti/Desktop/2025 FALL/426 COSC/YOLO_TESTING/bbox-snapshots/frame04927_id14523.png", "frame04927_id14523.png")</f>
        <v/>
      </c>
    </row>
    <row r="926">
      <c r="A926" t="n">
        <v>4933</v>
      </c>
      <c r="B926" t="n">
        <v>14552</v>
      </c>
      <c r="C926" t="n">
        <v>37014</v>
      </c>
      <c r="D926" t="n">
        <v>1</v>
      </c>
      <c r="E926">
        <f>HYPERLINK("file:///C:/Users/anye forti/Desktop/2025 FALL/426 COSC/YOLO_TESTING/bbox-snapshots/frame04933_id14552.png", "frame04933_id14552.png")</f>
        <v/>
      </c>
    </row>
    <row r="927">
      <c r="A927" t="n">
        <v>4936</v>
      </c>
      <c r="B927" t="n">
        <v>14561</v>
      </c>
      <c r="C927" t="n">
        <v>40260</v>
      </c>
      <c r="D927" t="n">
        <v>1</v>
      </c>
      <c r="E927">
        <f>HYPERLINK("file:///C:/Users/anye forti/Desktop/2025 FALL/426 COSC/YOLO_TESTING/bbox-snapshots/frame04936_id14561.png", "frame04936_id14561.png")</f>
        <v/>
      </c>
    </row>
    <row r="928">
      <c r="A928" t="n">
        <v>4937</v>
      </c>
      <c r="B928" t="n">
        <v>14565</v>
      </c>
      <c r="C928" t="n">
        <v>45570</v>
      </c>
      <c r="D928" t="n">
        <v>1</v>
      </c>
      <c r="E928">
        <f>HYPERLINK("file:///C:/Users/anye forti/Desktop/2025 FALL/426 COSC/YOLO_TESTING/bbox-snapshots/frame04937_id14565.png", "frame04937_id14565.png")</f>
        <v/>
      </c>
    </row>
    <row r="929">
      <c r="A929" t="n">
        <v>4941</v>
      </c>
      <c r="B929" t="n">
        <v>14586</v>
      </c>
      <c r="C929" t="n">
        <v>15276</v>
      </c>
      <c r="D929" t="n">
        <v>1</v>
      </c>
      <c r="E929">
        <f>HYPERLINK("file:///C:/Users/anye forti/Desktop/2025 FALL/426 COSC/YOLO_TESTING/bbox-snapshots/frame04941_id14586.png", "frame04941_id14586.png")</f>
        <v/>
      </c>
    </row>
    <row r="930">
      <c r="A930" t="n">
        <v>4943</v>
      </c>
      <c r="B930" t="n">
        <v>14597</v>
      </c>
      <c r="C930" t="n">
        <v>29205</v>
      </c>
      <c r="D930" t="n">
        <v>1</v>
      </c>
      <c r="E930">
        <f>HYPERLINK("file:///C:/Users/anye forti/Desktop/2025 FALL/426 COSC/YOLO_TESTING/bbox-snapshots/frame04943_id14597.png", "frame04943_id14597.png")</f>
        <v/>
      </c>
    </row>
    <row r="931">
      <c r="A931" t="n">
        <v>4946</v>
      </c>
      <c r="B931" t="n">
        <v>14593</v>
      </c>
      <c r="C931" t="n">
        <v>55384</v>
      </c>
      <c r="D931" t="n">
        <v>1</v>
      </c>
      <c r="E931">
        <f>HYPERLINK("file:///C:/Users/anye forti/Desktop/2025 FALL/426 COSC/YOLO_TESTING/bbox-snapshots/frame04946_id14593.png", "frame04946_id14593.png")</f>
        <v/>
      </c>
    </row>
    <row r="932">
      <c r="A932" t="n">
        <v>4946</v>
      </c>
      <c r="B932" t="n">
        <v>14594</v>
      </c>
      <c r="C932" t="n">
        <v>50350</v>
      </c>
      <c r="D932" t="n">
        <v>1</v>
      </c>
      <c r="E932">
        <f>HYPERLINK("file:///C:/Users/anye forti/Desktop/2025 FALL/426 COSC/YOLO_TESTING/bbox-snapshots/frame04946_id14594.png", "frame04946_id14594.png")</f>
        <v/>
      </c>
    </row>
    <row r="933">
      <c r="A933" t="n">
        <v>4952</v>
      </c>
      <c r="B933" t="n">
        <v>14607</v>
      </c>
      <c r="C933" t="n">
        <v>45220</v>
      </c>
      <c r="D933" t="n">
        <v>1</v>
      </c>
      <c r="E933">
        <f>HYPERLINK("file:///C:/Users/anye forti/Desktop/2025 FALL/426 COSC/YOLO_TESTING/bbox-snapshots/frame04952_id14607.png", "frame04952_id14607.png")</f>
        <v/>
      </c>
    </row>
    <row r="934">
      <c r="A934" t="n">
        <v>4955</v>
      </c>
      <c r="B934" t="n">
        <v>14626</v>
      </c>
      <c r="C934" t="n">
        <v>43460</v>
      </c>
      <c r="D934" t="n">
        <v>1</v>
      </c>
      <c r="E934">
        <f>HYPERLINK("file:///C:/Users/anye forti/Desktop/2025 FALL/426 COSC/YOLO_TESTING/bbox-snapshots/frame04955_id14626.png", "frame04955_id14626.png")</f>
        <v/>
      </c>
    </row>
    <row r="935">
      <c r="A935" t="n">
        <v>4958</v>
      </c>
      <c r="B935" t="n">
        <v>14633</v>
      </c>
      <c r="C935" t="n">
        <v>46992</v>
      </c>
      <c r="D935" t="n">
        <v>1</v>
      </c>
      <c r="E935">
        <f>HYPERLINK("file:///C:/Users/anye forti/Desktop/2025 FALL/426 COSC/YOLO_TESTING/bbox-snapshots/frame04958_id14633.png", "frame04958_id14633.png")</f>
        <v/>
      </c>
    </row>
    <row r="936">
      <c r="A936" t="n">
        <v>4960</v>
      </c>
      <c r="B936" t="n">
        <v>14627</v>
      </c>
      <c r="C936" t="n">
        <v>40480</v>
      </c>
      <c r="D936" t="n">
        <v>1</v>
      </c>
      <c r="E936">
        <f>HYPERLINK("file:///C:/Users/anye forti/Desktop/2025 FALL/426 COSC/YOLO_TESTING/bbox-snapshots/frame04960_id14627.png", "frame04960_id14627.png")</f>
        <v/>
      </c>
    </row>
    <row r="937">
      <c r="A937" t="n">
        <v>4964</v>
      </c>
      <c r="B937" t="n">
        <v>14711</v>
      </c>
      <c r="C937" t="n">
        <v>30030</v>
      </c>
      <c r="D937" t="n">
        <v>1</v>
      </c>
      <c r="E937">
        <f>HYPERLINK("file:///C:/Users/anye forti/Desktop/2025 FALL/426 COSC/YOLO_TESTING/bbox-snapshots/frame04964_id14711.png", "frame04964_id14711.png")</f>
        <v/>
      </c>
    </row>
    <row r="938">
      <c r="A938" t="n">
        <v>4967</v>
      </c>
      <c r="B938" t="n">
        <v>14715</v>
      </c>
      <c r="C938" t="n">
        <v>57856</v>
      </c>
      <c r="D938" t="n">
        <v>1</v>
      </c>
      <c r="E938">
        <f>HYPERLINK("file:///C:/Users/anye forti/Desktop/2025 FALL/426 COSC/YOLO_TESTING/bbox-snapshots/frame04967_id14715.png", "frame04967_id14715.png")</f>
        <v/>
      </c>
    </row>
    <row r="939">
      <c r="A939" t="n">
        <v>4978</v>
      </c>
      <c r="B939" t="n">
        <v>14678</v>
      </c>
      <c r="C939" t="n">
        <v>62496</v>
      </c>
      <c r="D939" t="n">
        <v>2</v>
      </c>
      <c r="E939">
        <f>HYPERLINK("file:///C:/Users/anye forti/Desktop/2025 FALL/426 COSC/YOLO_TESTING/bbox-snapshots/frame04978_id14678.png", "frame04978_id14678.png")</f>
        <v/>
      </c>
    </row>
    <row r="940">
      <c r="A940" t="n">
        <v>4980</v>
      </c>
      <c r="B940" t="n">
        <v>14745</v>
      </c>
      <c r="C940" t="n">
        <v>55842</v>
      </c>
      <c r="D940" t="n">
        <v>1</v>
      </c>
      <c r="E940">
        <f>HYPERLINK("file:///C:/Users/anye forti/Desktop/2025 FALL/426 COSC/YOLO_TESTING/bbox-snapshots/frame04980_id14745.png", "frame04980_id14745.png")</f>
        <v/>
      </c>
    </row>
    <row r="941">
      <c r="A941" t="n">
        <v>5002</v>
      </c>
      <c r="B941" t="n">
        <v>14775</v>
      </c>
      <c r="C941" t="n">
        <v>59078</v>
      </c>
      <c r="D941" t="n">
        <v>1</v>
      </c>
      <c r="E941">
        <f>HYPERLINK("file:///C:/Users/anye forti/Desktop/2025 FALL/426 COSC/YOLO_TESTING/bbox-snapshots/frame05002_id14775.png", "frame05002_id14775.png")</f>
        <v/>
      </c>
    </row>
    <row r="942">
      <c r="A942" t="n">
        <v>5003</v>
      </c>
      <c r="B942" t="n">
        <v>14789</v>
      </c>
      <c r="C942" t="n">
        <v>35870</v>
      </c>
      <c r="D942" t="n">
        <v>1</v>
      </c>
      <c r="E942">
        <f>HYPERLINK("file:///C:/Users/anye forti/Desktop/2025 FALL/426 COSC/YOLO_TESTING/bbox-snapshots/frame05003_id14789.png", "frame05003_id14789.png")</f>
        <v/>
      </c>
    </row>
    <row r="943">
      <c r="A943" t="n">
        <v>5010</v>
      </c>
      <c r="B943" t="n">
        <v>14828</v>
      </c>
      <c r="C943" t="n">
        <v>39405</v>
      </c>
      <c r="D943" t="n">
        <v>1</v>
      </c>
      <c r="E943">
        <f>HYPERLINK("file:///C:/Users/anye forti/Desktop/2025 FALL/426 COSC/YOLO_TESTING/bbox-snapshots/frame05010_id14828.png", "frame05010_id14828.png")</f>
        <v/>
      </c>
    </row>
    <row r="944">
      <c r="A944" t="n">
        <v>5011</v>
      </c>
      <c r="B944" t="n">
        <v>14796</v>
      </c>
      <c r="C944" t="n">
        <v>58705</v>
      </c>
      <c r="D944" t="n">
        <v>1</v>
      </c>
      <c r="E944">
        <f>HYPERLINK("file:///C:/Users/anye forti/Desktop/2025 FALL/426 COSC/YOLO_TESTING/bbox-snapshots/frame05011_id14796.png", "frame05011_id14796.png")</f>
        <v/>
      </c>
    </row>
    <row r="945">
      <c r="A945" t="n">
        <v>5014</v>
      </c>
      <c r="B945" t="n">
        <v>14824</v>
      </c>
      <c r="C945" t="n">
        <v>33180</v>
      </c>
      <c r="D945" t="n">
        <v>1</v>
      </c>
      <c r="E945">
        <f>HYPERLINK("file:///C:/Users/anye forti/Desktop/2025 FALL/426 COSC/YOLO_TESTING/bbox-snapshots/frame05014_id14824.png", "frame05014_id14824.png")</f>
        <v/>
      </c>
    </row>
    <row r="946">
      <c r="A946" t="n">
        <v>5018</v>
      </c>
      <c r="B946" t="n">
        <v>14786</v>
      </c>
      <c r="C946" t="n">
        <v>40704</v>
      </c>
      <c r="D946" t="n">
        <v>1</v>
      </c>
      <c r="E946">
        <f>HYPERLINK("file:///C:/Users/anye forti/Desktop/2025 FALL/426 COSC/YOLO_TESTING/bbox-snapshots/frame05018_id14786.png", "frame05018_id14786.png")</f>
        <v/>
      </c>
    </row>
    <row r="947">
      <c r="A947" t="n">
        <v>5021</v>
      </c>
      <c r="B947" t="n">
        <v>14860</v>
      </c>
      <c r="C947" t="n">
        <v>27027</v>
      </c>
      <c r="D947" t="n">
        <v>1</v>
      </c>
      <c r="E947">
        <f>HYPERLINK("file:///C:/Users/anye forti/Desktop/2025 FALL/426 COSC/YOLO_TESTING/bbox-snapshots/frame05021_id14860.png", "frame05021_id14860.png")</f>
        <v/>
      </c>
    </row>
    <row r="948">
      <c r="A948" t="n">
        <v>5022</v>
      </c>
      <c r="B948" t="n">
        <v>14866</v>
      </c>
      <c r="C948" t="n">
        <v>34944</v>
      </c>
      <c r="D948" t="n">
        <v>1</v>
      </c>
      <c r="E948">
        <f>HYPERLINK("file:///C:/Users/anye forti/Desktop/2025 FALL/426 COSC/YOLO_TESTING/bbox-snapshots/frame05022_id14866.png", "frame05022_id14866.png")</f>
        <v/>
      </c>
    </row>
    <row r="949">
      <c r="A949" t="n">
        <v>5024</v>
      </c>
      <c r="B949" t="n">
        <v>14829</v>
      </c>
      <c r="C949" t="n">
        <v>40992</v>
      </c>
      <c r="D949" t="n">
        <v>1</v>
      </c>
      <c r="E949">
        <f>HYPERLINK("file:///C:/Users/anye forti/Desktop/2025 FALL/426 COSC/YOLO_TESTING/bbox-snapshots/frame05024_id14829.png", "frame05024_id14829.png")</f>
        <v/>
      </c>
    </row>
    <row r="950">
      <c r="A950" t="n">
        <v>5035</v>
      </c>
      <c r="B950" t="n">
        <v>14915</v>
      </c>
      <c r="C950" t="n">
        <v>57113</v>
      </c>
      <c r="D950" t="n">
        <v>1</v>
      </c>
      <c r="E950">
        <f>HYPERLINK("file:///C:/Users/anye forti/Desktop/2025 FALL/426 COSC/YOLO_TESTING/bbox-snapshots/frame05035_id14915.png", "frame05035_id14915.png")</f>
        <v/>
      </c>
    </row>
    <row r="951">
      <c r="A951" t="n">
        <v>5037</v>
      </c>
      <c r="B951" t="n">
        <v>14917</v>
      </c>
      <c r="C951" t="n">
        <v>47196</v>
      </c>
      <c r="D951" t="n">
        <v>1</v>
      </c>
      <c r="E951">
        <f>HYPERLINK("file:///C:/Users/anye forti/Desktop/2025 FALL/426 COSC/YOLO_TESTING/bbox-snapshots/frame05037_id14917.png", "frame05037_id14917.png")</f>
        <v/>
      </c>
    </row>
    <row r="952">
      <c r="A952" t="n">
        <v>5041</v>
      </c>
      <c r="B952" t="n">
        <v>14956</v>
      </c>
      <c r="C952" t="n">
        <v>66871</v>
      </c>
      <c r="D952" t="n">
        <v>2</v>
      </c>
      <c r="E952">
        <f>HYPERLINK("file:///C:/Users/anye forti/Desktop/2025 FALL/426 COSC/YOLO_TESTING/bbox-snapshots/frame05041_id14956.png", "frame05041_id14956.png")</f>
        <v/>
      </c>
    </row>
    <row r="953">
      <c r="A953" t="n">
        <v>5041</v>
      </c>
      <c r="B953" t="n">
        <v>14957</v>
      </c>
      <c r="C953" t="n">
        <v>15423</v>
      </c>
      <c r="D953" t="n">
        <v>1</v>
      </c>
      <c r="E953">
        <f>HYPERLINK("file:///C:/Users/anye forti/Desktop/2025 FALL/426 COSC/YOLO_TESTING/bbox-snapshots/frame05041_id14957.png", "frame05041_id14957.png")</f>
        <v/>
      </c>
    </row>
    <row r="954">
      <c r="A954" t="n">
        <v>5049</v>
      </c>
      <c r="B954" t="n">
        <v>15000</v>
      </c>
      <c r="C954" t="n">
        <v>26569</v>
      </c>
      <c r="D954" t="n">
        <v>1</v>
      </c>
      <c r="E954">
        <f>HYPERLINK("file:///C:/Users/anye forti/Desktop/2025 FALL/426 COSC/YOLO_TESTING/bbox-snapshots/frame05049_id15000.png", "frame05049_id15000.png")</f>
        <v/>
      </c>
    </row>
    <row r="955">
      <c r="A955" t="n">
        <v>5049</v>
      </c>
      <c r="B955" t="n">
        <v>15026</v>
      </c>
      <c r="C955" t="n">
        <v>44548</v>
      </c>
      <c r="D955" t="n">
        <v>1</v>
      </c>
      <c r="E955">
        <f>HYPERLINK("file:///C:/Users/anye forti/Desktop/2025 FALL/426 COSC/YOLO_TESTING/bbox-snapshots/frame05049_id15026.png", "frame05049_id15026.png")</f>
        <v/>
      </c>
    </row>
    <row r="956">
      <c r="A956" t="n">
        <v>5050</v>
      </c>
      <c r="B956" t="n">
        <v>14988</v>
      </c>
      <c r="C956" t="n">
        <v>32900</v>
      </c>
      <c r="D956" t="n">
        <v>1</v>
      </c>
      <c r="E956">
        <f>HYPERLINK("file:///C:/Users/anye forti/Desktop/2025 FALL/426 COSC/YOLO_TESTING/bbox-snapshots/frame05050_id14988.png", "frame05050_id14988.png")</f>
        <v/>
      </c>
    </row>
    <row r="957">
      <c r="A957" t="n">
        <v>5053</v>
      </c>
      <c r="B957" t="n">
        <v>15022</v>
      </c>
      <c r="C957" t="n">
        <v>34040</v>
      </c>
      <c r="D957" t="n">
        <v>1</v>
      </c>
      <c r="E957">
        <f>HYPERLINK("file:///C:/Users/anye forti/Desktop/2025 FALL/426 COSC/YOLO_TESTING/bbox-snapshots/frame05053_id15022.png", "frame05053_id15022.png")</f>
        <v/>
      </c>
    </row>
    <row r="958">
      <c r="A958" t="n">
        <v>5057</v>
      </c>
      <c r="B958" t="n">
        <v>15027</v>
      </c>
      <c r="C958" t="n">
        <v>47163</v>
      </c>
      <c r="D958" t="n">
        <v>1</v>
      </c>
      <c r="E958">
        <f>HYPERLINK("file:///C:/Users/anye forti/Desktop/2025 FALL/426 COSC/YOLO_TESTING/bbox-snapshots/frame05057_id15027.png", "frame05057_id15027.png")</f>
        <v/>
      </c>
    </row>
    <row r="959">
      <c r="A959" t="n">
        <v>5062</v>
      </c>
      <c r="B959" t="n">
        <v>15052</v>
      </c>
      <c r="C959" t="n">
        <v>41472</v>
      </c>
      <c r="D959" t="n">
        <v>1</v>
      </c>
      <c r="E959">
        <f>HYPERLINK("file:///C:/Users/anye forti/Desktop/2025 FALL/426 COSC/YOLO_TESTING/bbox-snapshots/frame05062_id15052.png", "frame05062_id15052.png")</f>
        <v/>
      </c>
    </row>
    <row r="960">
      <c r="A960" t="n">
        <v>5071</v>
      </c>
      <c r="B960" t="n">
        <v>15088</v>
      </c>
      <c r="C960" t="n">
        <v>48412</v>
      </c>
      <c r="D960" t="n">
        <v>1</v>
      </c>
      <c r="E960">
        <f>HYPERLINK("file:///C:/Users/anye forti/Desktop/2025 FALL/426 COSC/YOLO_TESTING/bbox-snapshots/frame05071_id15088.png", "frame05071_id15088.png")</f>
        <v/>
      </c>
    </row>
    <row r="961">
      <c r="A961" t="n">
        <v>5077</v>
      </c>
      <c r="B961" t="n">
        <v>15094</v>
      </c>
      <c r="C961" t="n">
        <v>67555</v>
      </c>
      <c r="D961" t="n">
        <v>2</v>
      </c>
      <c r="E961">
        <f>HYPERLINK("file:///C:/Users/anye forti/Desktop/2025 FALL/426 COSC/YOLO_TESTING/bbox-snapshots/frame05077_id15094.png", "frame05077_id15094.png")</f>
        <v/>
      </c>
    </row>
    <row r="962">
      <c r="A962" t="n">
        <v>5083</v>
      </c>
      <c r="B962" t="n">
        <v>15159</v>
      </c>
      <c r="C962" t="n">
        <v>35742</v>
      </c>
      <c r="D962" t="n">
        <v>1</v>
      </c>
      <c r="E962">
        <f>HYPERLINK("file:///C:/Users/anye forti/Desktop/2025 FALL/426 COSC/YOLO_TESTING/bbox-snapshots/frame05083_id15159.png", "frame05083_id15159.png")</f>
        <v/>
      </c>
    </row>
    <row r="963">
      <c r="A963" t="n">
        <v>5088</v>
      </c>
      <c r="B963" t="n">
        <v>15162</v>
      </c>
      <c r="C963" t="n">
        <v>48777</v>
      </c>
      <c r="D963" t="n">
        <v>1</v>
      </c>
      <c r="E963">
        <f>HYPERLINK("file:///C:/Users/anye forti/Desktop/2025 FALL/426 COSC/YOLO_TESTING/bbox-snapshots/frame05088_id15162.png", "frame05088_id15162.png")</f>
        <v/>
      </c>
    </row>
    <row r="964">
      <c r="A964" t="n">
        <v>5092</v>
      </c>
      <c r="B964" t="n">
        <v>15167</v>
      </c>
      <c r="C964" t="n">
        <v>47685</v>
      </c>
      <c r="D964" t="n">
        <v>1</v>
      </c>
      <c r="E964">
        <f>HYPERLINK("file:///C:/Users/anye forti/Desktop/2025 FALL/426 COSC/YOLO_TESTING/bbox-snapshots/frame05092_id15167.png", "frame05092_id15167.png")</f>
        <v/>
      </c>
    </row>
    <row r="965">
      <c r="A965" t="n">
        <v>5096</v>
      </c>
      <c r="B965" t="n">
        <v>15203</v>
      </c>
      <c r="C965" t="n">
        <v>19040</v>
      </c>
      <c r="D965" t="n">
        <v>1</v>
      </c>
      <c r="E965">
        <f>HYPERLINK("file:///C:/Users/anye forti/Desktop/2025 FALL/426 COSC/YOLO_TESTING/bbox-snapshots/frame05096_id15203.png", "frame05096_id15203.png")</f>
        <v/>
      </c>
    </row>
    <row r="966">
      <c r="A966" t="n">
        <v>5101</v>
      </c>
      <c r="B966" t="n">
        <v>15178</v>
      </c>
      <c r="C966" t="n">
        <v>48951</v>
      </c>
      <c r="D966" t="n">
        <v>1</v>
      </c>
      <c r="E966">
        <f>HYPERLINK("file:///C:/Users/anye forti/Desktop/2025 FALL/426 COSC/YOLO_TESTING/bbox-snapshots/frame05101_id15178.png", "frame05101_id15178.png")</f>
        <v/>
      </c>
    </row>
    <row r="967">
      <c r="A967" t="n">
        <v>5106</v>
      </c>
      <c r="B967" t="n">
        <v>15188</v>
      </c>
      <c r="C967" t="n">
        <v>48129</v>
      </c>
      <c r="D967" t="n">
        <v>1</v>
      </c>
      <c r="E967">
        <f>HYPERLINK("file:///C:/Users/anye forti/Desktop/2025 FALL/426 COSC/YOLO_TESTING/bbox-snapshots/frame05106_id15188.png", "frame05106_id15188.png")</f>
        <v/>
      </c>
    </row>
    <row r="968">
      <c r="A968" t="n">
        <v>5107</v>
      </c>
      <c r="B968" t="n">
        <v>15193</v>
      </c>
      <c r="C968" t="n">
        <v>33998</v>
      </c>
      <c r="D968" t="n">
        <v>1</v>
      </c>
      <c r="E968">
        <f>HYPERLINK("file:///C:/Users/anye forti/Desktop/2025 FALL/426 COSC/YOLO_TESTING/bbox-snapshots/frame05107_id15193.png", "frame05107_id15193.png")</f>
        <v/>
      </c>
    </row>
    <row r="969">
      <c r="A969" t="n">
        <v>5119</v>
      </c>
      <c r="B969" t="n">
        <v>15225</v>
      </c>
      <c r="C969" t="n">
        <v>42592</v>
      </c>
      <c r="D969" t="n">
        <v>1</v>
      </c>
      <c r="E969">
        <f>HYPERLINK("file:///C:/Users/anye forti/Desktop/2025 FALL/426 COSC/YOLO_TESTING/bbox-snapshots/frame05119_id15225.png", "frame05119_id15225.png")</f>
        <v/>
      </c>
    </row>
    <row r="970">
      <c r="A970" t="n">
        <v>5124</v>
      </c>
      <c r="B970" t="n">
        <v>15235</v>
      </c>
      <c r="C970" t="n">
        <v>41610</v>
      </c>
      <c r="D970" t="n">
        <v>1</v>
      </c>
      <c r="E970">
        <f>HYPERLINK("file:///C:/Users/anye forti/Desktop/2025 FALL/426 COSC/YOLO_TESTING/bbox-snapshots/frame05124_id15235.png", "frame05124_id15235.png")</f>
        <v/>
      </c>
    </row>
    <row r="971">
      <c r="A971" t="n">
        <v>5130</v>
      </c>
      <c r="B971" t="n">
        <v>15248</v>
      </c>
      <c r="C971" t="n">
        <v>57770</v>
      </c>
      <c r="D971" t="n">
        <v>1</v>
      </c>
      <c r="E971">
        <f>HYPERLINK("file:///C:/Users/anye forti/Desktop/2025 FALL/426 COSC/YOLO_TESTING/bbox-snapshots/frame05130_id15248.png", "frame05130_id15248.png")</f>
        <v/>
      </c>
    </row>
    <row r="972">
      <c r="A972" t="n">
        <v>5136</v>
      </c>
      <c r="B972" t="n">
        <v>15217</v>
      </c>
      <c r="C972" t="n">
        <v>45504</v>
      </c>
      <c r="D972" t="n">
        <v>1</v>
      </c>
      <c r="E972">
        <f>HYPERLINK("file:///C:/Users/anye forti/Desktop/2025 FALL/426 COSC/YOLO_TESTING/bbox-snapshots/frame05136_id15217.png", "frame05136_id15217.png")</f>
        <v/>
      </c>
    </row>
    <row r="973">
      <c r="A973" t="n">
        <v>5138</v>
      </c>
      <c r="B973" t="n">
        <v>15263</v>
      </c>
      <c r="C973" t="n">
        <v>45045</v>
      </c>
      <c r="D973" t="n">
        <v>1</v>
      </c>
      <c r="E973">
        <f>HYPERLINK("file:///C:/Users/anye forti/Desktop/2025 FALL/426 COSC/YOLO_TESTING/bbox-snapshots/frame05138_id15263.png", "frame05138_id15263.png")</f>
        <v/>
      </c>
    </row>
    <row r="974">
      <c r="A974" t="n">
        <v>5138</v>
      </c>
      <c r="B974" t="n">
        <v>15273</v>
      </c>
      <c r="C974" t="n">
        <v>30080</v>
      </c>
      <c r="D974" t="n">
        <v>1</v>
      </c>
      <c r="E974">
        <f>HYPERLINK("file:///C:/Users/anye forti/Desktop/2025 FALL/426 COSC/YOLO_TESTING/bbox-snapshots/frame05138_id15273.png", "frame05138_id15273.png")</f>
        <v/>
      </c>
    </row>
    <row r="975">
      <c r="A975" t="n">
        <v>5149</v>
      </c>
      <c r="B975" t="n">
        <v>15288</v>
      </c>
      <c r="C975" t="n">
        <v>34040</v>
      </c>
      <c r="D975" t="n">
        <v>1</v>
      </c>
      <c r="E975">
        <f>HYPERLINK("file:///C:/Users/anye forti/Desktop/2025 FALL/426 COSC/YOLO_TESTING/bbox-snapshots/frame05149_id15288.png", "frame05149_id15288.png")</f>
        <v/>
      </c>
    </row>
    <row r="976">
      <c r="A976" t="n">
        <v>5150</v>
      </c>
      <c r="B976" t="n">
        <v>15283</v>
      </c>
      <c r="C976" t="n">
        <v>43423</v>
      </c>
      <c r="D976" t="n">
        <v>1</v>
      </c>
      <c r="E976">
        <f>HYPERLINK("file:///C:/Users/anye forti/Desktop/2025 FALL/426 COSC/YOLO_TESTING/bbox-snapshots/frame05150_id15283.png", "frame05150_id15283.png")</f>
        <v/>
      </c>
    </row>
    <row r="977">
      <c r="A977" t="n">
        <v>5157</v>
      </c>
      <c r="B977" t="n">
        <v>15303</v>
      </c>
      <c r="C977" t="n">
        <v>36972</v>
      </c>
      <c r="D977" t="n">
        <v>1</v>
      </c>
      <c r="E977">
        <f>HYPERLINK("file:///C:/Users/anye forti/Desktop/2025 FALL/426 COSC/YOLO_TESTING/bbox-snapshots/frame05157_id15303.png", "frame05157_id15303.png")</f>
        <v/>
      </c>
    </row>
    <row r="978">
      <c r="A978" t="n">
        <v>5168</v>
      </c>
      <c r="B978" t="n">
        <v>15253</v>
      </c>
      <c r="C978" t="n">
        <v>57780</v>
      </c>
      <c r="D978" t="n">
        <v>1</v>
      </c>
      <c r="E978">
        <f>HYPERLINK("file:///C:/Users/anye forti/Desktop/2025 FALL/426 COSC/YOLO_TESTING/bbox-snapshots/frame05168_id15253.png", "frame05168_id15253.png")</f>
        <v/>
      </c>
    </row>
    <row r="979">
      <c r="A979" t="n">
        <v>5172</v>
      </c>
      <c r="B979" t="n">
        <v>15356</v>
      </c>
      <c r="C979" t="n">
        <v>41664</v>
      </c>
      <c r="D979" t="n">
        <v>1</v>
      </c>
      <c r="E979">
        <f>HYPERLINK("file:///C:/Users/anye forti/Desktop/2025 FALL/426 COSC/YOLO_TESTING/bbox-snapshots/frame05172_id15356.png", "frame05172_id15356.png")</f>
        <v/>
      </c>
    </row>
    <row r="980">
      <c r="A980" t="n">
        <v>5177</v>
      </c>
      <c r="B980" t="n">
        <v>15367</v>
      </c>
      <c r="C980" t="n">
        <v>38285</v>
      </c>
      <c r="D980" t="n">
        <v>1</v>
      </c>
      <c r="E980">
        <f>HYPERLINK("file:///C:/Users/anye forti/Desktop/2025 FALL/426 COSC/YOLO_TESTING/bbox-snapshots/frame05177_id15367.png", "frame05177_id15367.png")</f>
        <v/>
      </c>
    </row>
    <row r="981">
      <c r="A981" t="n">
        <v>5180</v>
      </c>
      <c r="B981" t="n">
        <v>15375</v>
      </c>
      <c r="C981" t="n">
        <v>46003</v>
      </c>
      <c r="D981" t="n">
        <v>1</v>
      </c>
      <c r="E981">
        <f>HYPERLINK("file:///C:/Users/anye forti/Desktop/2025 FALL/426 COSC/YOLO_TESTING/bbox-snapshots/frame05180_id15375.png", "frame05180_id15375.png")</f>
        <v/>
      </c>
    </row>
    <row r="982">
      <c r="A982" t="n">
        <v>5186</v>
      </c>
      <c r="B982" t="n">
        <v>15373</v>
      </c>
      <c r="C982" t="n">
        <v>81351</v>
      </c>
      <c r="D982" t="n">
        <v>2</v>
      </c>
      <c r="E982">
        <f>HYPERLINK("file:///C:/Users/anye forti/Desktop/2025 FALL/426 COSC/YOLO_TESTING/bbox-snapshots/frame05186_id15373.png", "frame05186_id15373.png")</f>
        <v/>
      </c>
    </row>
    <row r="983">
      <c r="A983" t="n">
        <v>5186</v>
      </c>
      <c r="B983" t="n">
        <v>15390</v>
      </c>
      <c r="C983" t="n">
        <v>55664</v>
      </c>
      <c r="D983" t="n">
        <v>1</v>
      </c>
      <c r="E983">
        <f>HYPERLINK("file:///C:/Users/anye forti/Desktop/2025 FALL/426 COSC/YOLO_TESTING/bbox-snapshots/frame05186_id15390.png", "frame05186_id15390.png")</f>
        <v/>
      </c>
    </row>
    <row r="984">
      <c r="A984" t="n">
        <v>5189</v>
      </c>
      <c r="B984" t="n">
        <v>15417</v>
      </c>
      <c r="C984" t="n">
        <v>85750</v>
      </c>
      <c r="D984" t="n">
        <v>2</v>
      </c>
      <c r="E984">
        <f>HYPERLINK("file:///C:/Users/anye forti/Desktop/2025 FALL/426 COSC/YOLO_TESTING/bbox-snapshots/frame05189_id15417.png", "frame05189_id15417.png")</f>
        <v/>
      </c>
    </row>
    <row r="985">
      <c r="A985" t="n">
        <v>5189</v>
      </c>
      <c r="B985" t="n">
        <v>15409</v>
      </c>
      <c r="C985" t="n">
        <v>27354</v>
      </c>
      <c r="D985" t="n">
        <v>1</v>
      </c>
      <c r="E985">
        <f>HYPERLINK("file:///C:/Users/anye forti/Desktop/2025 FALL/426 COSC/YOLO_TESTING/bbox-snapshots/frame05189_id15409.png", "frame05189_id15409.png")</f>
        <v/>
      </c>
    </row>
    <row r="986">
      <c r="A986" t="n">
        <v>5189</v>
      </c>
      <c r="B986" t="n">
        <v>15480</v>
      </c>
      <c r="C986" t="n">
        <v>36260</v>
      </c>
      <c r="D986" t="n">
        <v>1</v>
      </c>
      <c r="E986">
        <f>HYPERLINK("file:///C:/Users/anye forti/Desktop/2025 FALL/426 COSC/YOLO_TESTING/bbox-snapshots/frame05189_id15480.png", "frame05189_id15480.png")</f>
        <v/>
      </c>
    </row>
    <row r="987">
      <c r="A987" t="n">
        <v>5191</v>
      </c>
      <c r="B987" t="n">
        <v>15418</v>
      </c>
      <c r="C987" t="n">
        <v>29666</v>
      </c>
      <c r="D987" t="n">
        <v>1</v>
      </c>
      <c r="E987">
        <f>HYPERLINK("file:///C:/Users/anye forti/Desktop/2025 FALL/426 COSC/YOLO_TESTING/bbox-snapshots/frame05191_id15418.png", "frame05191_id15418.png")</f>
        <v/>
      </c>
    </row>
    <row r="988">
      <c r="A988" t="n">
        <v>5197</v>
      </c>
      <c r="B988" t="n">
        <v>15438</v>
      </c>
      <c r="C988" t="n">
        <v>38955</v>
      </c>
      <c r="D988" t="n">
        <v>1</v>
      </c>
      <c r="E988">
        <f>HYPERLINK("file:///C:/Users/anye forti/Desktop/2025 FALL/426 COSC/YOLO_TESTING/bbox-snapshots/frame05197_id15438.png", "frame05197_id15438.png")</f>
        <v/>
      </c>
    </row>
    <row r="989">
      <c r="A989" t="n">
        <v>5203</v>
      </c>
      <c r="B989" t="n">
        <v>15556</v>
      </c>
      <c r="C989" t="n">
        <v>18816</v>
      </c>
      <c r="D989" t="n">
        <v>1</v>
      </c>
      <c r="E989">
        <f>HYPERLINK("file:///C:/Users/anye forti/Desktop/2025 FALL/426 COSC/YOLO_TESTING/bbox-snapshots/frame05203_id15556.png", "frame05203_id15556.png")</f>
        <v/>
      </c>
    </row>
    <row r="990">
      <c r="A990" t="n">
        <v>5206</v>
      </c>
      <c r="B990" t="n">
        <v>15474</v>
      </c>
      <c r="C990" t="n">
        <v>37524</v>
      </c>
      <c r="D990" t="n">
        <v>1</v>
      </c>
      <c r="E990">
        <f>HYPERLINK("file:///C:/Users/anye forti/Desktop/2025 FALL/426 COSC/YOLO_TESTING/bbox-snapshots/frame05206_id15474.png", "frame05206_id15474.png")</f>
        <v/>
      </c>
    </row>
    <row r="991">
      <c r="A991" t="n">
        <v>5211</v>
      </c>
      <c r="B991" t="n">
        <v>15465</v>
      </c>
      <c r="C991" t="n">
        <v>41800</v>
      </c>
      <c r="D991" t="n">
        <v>1</v>
      </c>
      <c r="E991">
        <f>HYPERLINK("file:///C:/Users/anye forti/Desktop/2025 FALL/426 COSC/YOLO_TESTING/bbox-snapshots/frame05211_id15465.png", "frame05211_id15465.png")</f>
        <v/>
      </c>
    </row>
    <row r="992">
      <c r="A992" t="n">
        <v>5212</v>
      </c>
      <c r="B992" t="n">
        <v>15285</v>
      </c>
      <c r="C992" t="n">
        <v>35880</v>
      </c>
      <c r="D992" t="n">
        <v>1</v>
      </c>
      <c r="E992">
        <f>HYPERLINK("file:///C:/Users/anye forti/Desktop/2025 FALL/426 COSC/YOLO_TESTING/bbox-snapshots/frame05212_id15285.png", "frame05212_id15285.png")</f>
        <v/>
      </c>
    </row>
    <row r="993">
      <c r="A993" t="n">
        <v>5219</v>
      </c>
      <c r="B993" t="n">
        <v>15588</v>
      </c>
      <c r="C993" t="n">
        <v>81508</v>
      </c>
      <c r="D993" t="n">
        <v>2</v>
      </c>
      <c r="E993">
        <f>HYPERLINK("file:///C:/Users/anye forti/Desktop/2025 FALL/426 COSC/YOLO_TESTING/bbox-snapshots/frame05219_id15588.png", "frame05219_id15588.png")</f>
        <v/>
      </c>
    </row>
    <row r="994">
      <c r="A994" t="n">
        <v>5235</v>
      </c>
      <c r="B994" t="n">
        <v>15590</v>
      </c>
      <c r="C994" t="n">
        <v>38305</v>
      </c>
      <c r="D994" t="n">
        <v>1</v>
      </c>
      <c r="E994">
        <f>HYPERLINK("file:///C:/Users/anye forti/Desktop/2025 FALL/426 COSC/YOLO_TESTING/bbox-snapshots/frame05235_id15590.png", "frame05235_id15590.png")</f>
        <v/>
      </c>
    </row>
    <row r="995">
      <c r="A995" t="n">
        <v>5236</v>
      </c>
      <c r="B995" t="n">
        <v>15603</v>
      </c>
      <c r="C995" t="n">
        <v>72230</v>
      </c>
      <c r="D995" t="n">
        <v>2</v>
      </c>
      <c r="E995">
        <f>HYPERLINK("file:///C:/Users/anye forti/Desktop/2025 FALL/426 COSC/YOLO_TESTING/bbox-snapshots/frame05236_id15603.png", "frame05236_id15603.png")</f>
        <v/>
      </c>
    </row>
    <row r="996">
      <c r="A996" t="n">
        <v>5238</v>
      </c>
      <c r="B996" t="n">
        <v>15605</v>
      </c>
      <c r="C996" t="n">
        <v>33984</v>
      </c>
      <c r="D996" t="n">
        <v>1</v>
      </c>
      <c r="E996">
        <f>HYPERLINK("file:///C:/Users/anye forti/Desktop/2025 FALL/426 COSC/YOLO_TESTING/bbox-snapshots/frame05238_id15605.png", "frame05238_id15605.png")</f>
        <v/>
      </c>
    </row>
    <row r="997">
      <c r="A997" t="n">
        <v>5243</v>
      </c>
      <c r="B997" t="n">
        <v>15635</v>
      </c>
      <c r="C997" t="n">
        <v>23870</v>
      </c>
      <c r="D997" t="n">
        <v>1</v>
      </c>
      <c r="E997">
        <f>HYPERLINK("file:///C:/Users/anye forti/Desktop/2025 FALL/426 COSC/YOLO_TESTING/bbox-snapshots/frame05243_id15635.png", "frame05243_id15635.png")</f>
        <v/>
      </c>
    </row>
    <row r="998">
      <c r="A998" t="n">
        <v>5248</v>
      </c>
      <c r="B998" t="n">
        <v>15644</v>
      </c>
      <c r="C998" t="n">
        <v>52224</v>
      </c>
      <c r="D998" t="n">
        <v>1</v>
      </c>
      <c r="E998">
        <f>HYPERLINK("file:///C:/Users/anye forti/Desktop/2025 FALL/426 COSC/YOLO_TESTING/bbox-snapshots/frame05248_id15644.png", "frame05248_id15644.png")</f>
        <v/>
      </c>
    </row>
    <row r="999">
      <c r="A999" t="n">
        <v>5257</v>
      </c>
      <c r="B999" t="n">
        <v>15619</v>
      </c>
      <c r="C999" t="n">
        <v>39528</v>
      </c>
      <c r="D999" t="n">
        <v>1</v>
      </c>
      <c r="E999">
        <f>HYPERLINK("file:///C:/Users/anye forti/Desktop/2025 FALL/426 COSC/YOLO_TESTING/bbox-snapshots/frame05257_id15619.png", "frame05257_id15619.png")</f>
        <v/>
      </c>
    </row>
    <row r="1000">
      <c r="A1000" t="n">
        <v>5257</v>
      </c>
      <c r="B1000" t="n">
        <v>15699</v>
      </c>
      <c r="C1000" t="n">
        <v>80586</v>
      </c>
      <c r="D1000" t="n">
        <v>2</v>
      </c>
      <c r="E1000">
        <f>HYPERLINK("file:///C:/Users/anye forti/Desktop/2025 FALL/426 COSC/YOLO_TESTING/bbox-snapshots/frame05257_id15699.png", "frame05257_id15699.png")</f>
        <v/>
      </c>
    </row>
    <row r="1001">
      <c r="A1001" t="n">
        <v>5260</v>
      </c>
      <c r="B1001" t="n">
        <v>15580</v>
      </c>
      <c r="C1001" t="n">
        <v>38133</v>
      </c>
      <c r="D1001" t="n">
        <v>1</v>
      </c>
      <c r="E1001">
        <f>HYPERLINK("file:///C:/Users/anye forti/Desktop/2025 FALL/426 COSC/YOLO_TESTING/bbox-snapshots/frame05260_id15580.png", "frame05260_id15580.png")</f>
        <v/>
      </c>
    </row>
    <row r="1002">
      <c r="A1002" t="n">
        <v>5277</v>
      </c>
      <c r="B1002" t="n">
        <v>15749</v>
      </c>
      <c r="C1002" t="n">
        <v>58104</v>
      </c>
      <c r="D1002" t="n">
        <v>1</v>
      </c>
      <c r="E1002">
        <f>HYPERLINK("file:///C:/Users/anye forti/Desktop/2025 FALL/426 COSC/YOLO_TESTING/bbox-snapshots/frame05277_id15749.png", "frame05277_id15749.png")</f>
        <v/>
      </c>
    </row>
    <row r="1003">
      <c r="A1003" t="n">
        <v>5286</v>
      </c>
      <c r="B1003" t="n">
        <v>15836</v>
      </c>
      <c r="C1003" t="n">
        <v>31104</v>
      </c>
      <c r="D1003" t="n">
        <v>1</v>
      </c>
      <c r="E1003">
        <f>HYPERLINK("file:///C:/Users/anye forti/Desktop/2025 FALL/426 COSC/YOLO_TESTING/bbox-snapshots/frame05286_id15836.png", "frame05286_id15836.png")</f>
        <v/>
      </c>
    </row>
    <row r="1004">
      <c r="A1004" t="n">
        <v>5290</v>
      </c>
      <c r="B1004" t="n">
        <v>15791</v>
      </c>
      <c r="C1004" t="n">
        <v>41400</v>
      </c>
      <c r="D1004" t="n">
        <v>1</v>
      </c>
      <c r="E1004">
        <f>HYPERLINK("file:///C:/Users/anye forti/Desktop/2025 FALL/426 COSC/YOLO_TESTING/bbox-snapshots/frame05290_id15791.png", "frame05290_id15791.png")</f>
        <v/>
      </c>
    </row>
    <row r="1005">
      <c r="A1005" t="n">
        <v>5292</v>
      </c>
      <c r="B1005" t="n">
        <v>15878</v>
      </c>
      <c r="C1005" t="n">
        <v>22059</v>
      </c>
      <c r="D1005" t="n">
        <v>1</v>
      </c>
      <c r="E1005">
        <f>HYPERLINK("file:///C:/Users/anye forti/Desktop/2025 FALL/426 COSC/YOLO_TESTING/bbox-snapshots/frame05292_id15878.png", "frame05292_id15878.png")</f>
        <v/>
      </c>
    </row>
    <row r="1006">
      <c r="A1006" t="n">
        <v>5292</v>
      </c>
      <c r="B1006" t="n">
        <v>15719</v>
      </c>
      <c r="C1006" t="n">
        <v>17172</v>
      </c>
      <c r="D1006" t="n">
        <v>1</v>
      </c>
      <c r="E1006">
        <f>HYPERLINK("file:///C:/Users/anye forti/Desktop/2025 FALL/426 COSC/YOLO_TESTING/bbox-snapshots/frame05292_id15719.png", "frame05292_id15719.png")</f>
        <v/>
      </c>
    </row>
    <row r="1007">
      <c r="A1007" t="n">
        <v>5293</v>
      </c>
      <c r="B1007" t="n">
        <v>15885</v>
      </c>
      <c r="C1007" t="n">
        <v>28576</v>
      </c>
      <c r="D1007" t="n">
        <v>1</v>
      </c>
      <c r="E1007">
        <f>HYPERLINK("file:///C:/Users/anye forti/Desktop/2025 FALL/426 COSC/YOLO_TESTING/bbox-snapshots/frame05293_id15885.png", "frame05293_id15885.png")</f>
        <v/>
      </c>
    </row>
    <row r="1008">
      <c r="A1008" t="n">
        <v>5296</v>
      </c>
      <c r="B1008" t="n">
        <v>15842</v>
      </c>
      <c r="C1008" t="n">
        <v>21888</v>
      </c>
      <c r="D1008" t="n">
        <v>1</v>
      </c>
      <c r="E1008">
        <f>HYPERLINK("file:///C:/Users/anye forti/Desktop/2025 FALL/426 COSC/YOLO_TESTING/bbox-snapshots/frame05296_id15842.png", "frame05296_id15842.png")</f>
        <v/>
      </c>
    </row>
    <row r="1009">
      <c r="A1009" t="n">
        <v>5297</v>
      </c>
      <c r="B1009" t="n">
        <v>15813</v>
      </c>
      <c r="C1009" t="n">
        <v>46665</v>
      </c>
      <c r="D1009" t="n">
        <v>1</v>
      </c>
      <c r="E1009">
        <f>HYPERLINK("file:///C:/Users/anye forti/Desktop/2025 FALL/426 COSC/YOLO_TESTING/bbox-snapshots/frame05297_id15813.png", "frame05297_id15813.png")</f>
        <v/>
      </c>
    </row>
    <row r="1010">
      <c r="A1010" t="n">
        <v>5299</v>
      </c>
      <c r="B1010" t="n">
        <v>15867</v>
      </c>
      <c r="C1010" t="n">
        <v>20128</v>
      </c>
      <c r="D1010" t="n">
        <v>1</v>
      </c>
      <c r="E1010">
        <f>HYPERLINK("file:///C:/Users/anye forti/Desktop/2025 FALL/426 COSC/YOLO_TESTING/bbox-snapshots/frame05299_id15867.png", "frame05299_id15867.png")</f>
        <v/>
      </c>
    </row>
    <row r="1011">
      <c r="A1011" t="n">
        <v>5300</v>
      </c>
      <c r="B1011" t="n">
        <v>15915</v>
      </c>
      <c r="C1011" t="n">
        <v>9672</v>
      </c>
      <c r="D1011" t="n">
        <v>0</v>
      </c>
      <c r="E1011">
        <f>HYPERLINK("file:///C:/Users/anye forti/Desktop/2025 FALL/426 COSC/YOLO_TESTING/bbox-snapshots/frame05300_id15915.png", "frame05300_id15915.png")</f>
        <v/>
      </c>
    </row>
    <row r="1012">
      <c r="A1012" t="n">
        <v>5303</v>
      </c>
      <c r="B1012" t="n">
        <v>15875</v>
      </c>
      <c r="C1012" t="n">
        <v>27676</v>
      </c>
      <c r="D1012" t="n">
        <v>1</v>
      </c>
      <c r="E1012">
        <f>HYPERLINK("file:///C:/Users/anye forti/Desktop/2025 FALL/426 COSC/YOLO_TESTING/bbox-snapshots/frame05303_id15875.png", "frame05303_id15875.png")</f>
        <v/>
      </c>
    </row>
    <row r="1013">
      <c r="A1013" t="n">
        <v>5309</v>
      </c>
      <c r="B1013" t="n">
        <v>15871</v>
      </c>
      <c r="C1013" t="n">
        <v>33908</v>
      </c>
      <c r="D1013" t="n">
        <v>1</v>
      </c>
      <c r="E1013">
        <f>HYPERLINK("file:///C:/Users/anye forti/Desktop/2025 FALL/426 COSC/YOLO_TESTING/bbox-snapshots/frame05309_id15871.png", "frame05309_id15871.png")</f>
        <v/>
      </c>
    </row>
    <row r="1014">
      <c r="A1014" t="n">
        <v>5309</v>
      </c>
      <c r="B1014" t="n">
        <v>15877</v>
      </c>
      <c r="C1014" t="n">
        <v>44800</v>
      </c>
      <c r="D1014" t="n">
        <v>1</v>
      </c>
      <c r="E1014">
        <f>HYPERLINK("file:///C:/Users/anye forti/Desktop/2025 FALL/426 COSC/YOLO_TESTING/bbox-snapshots/frame05309_id15877.png", "frame05309_id15877.png")</f>
        <v/>
      </c>
    </row>
    <row r="1015">
      <c r="A1015" t="n">
        <v>5321</v>
      </c>
      <c r="B1015" t="n">
        <v>15914</v>
      </c>
      <c r="C1015" t="n">
        <v>41184</v>
      </c>
      <c r="D1015" t="n">
        <v>1</v>
      </c>
      <c r="E1015">
        <f>HYPERLINK("file:///C:/Users/anye forti/Desktop/2025 FALL/426 COSC/YOLO_TESTING/bbox-snapshots/frame05321_id15914.png", "frame05321_id15914.png")</f>
        <v/>
      </c>
    </row>
    <row r="1016">
      <c r="A1016" t="n">
        <v>5322</v>
      </c>
      <c r="B1016" t="n">
        <v>15931</v>
      </c>
      <c r="C1016" t="n">
        <v>41586</v>
      </c>
      <c r="D1016" t="n">
        <v>1</v>
      </c>
      <c r="E1016">
        <f>HYPERLINK("file:///C:/Users/anye forti/Desktop/2025 FALL/426 COSC/YOLO_TESTING/bbox-snapshots/frame05322_id15931.png", "frame05322_id15931.png")</f>
        <v/>
      </c>
    </row>
    <row r="1017">
      <c r="A1017" t="n">
        <v>5330</v>
      </c>
      <c r="B1017" t="n">
        <v>15953</v>
      </c>
      <c r="C1017" t="n">
        <v>43769</v>
      </c>
      <c r="D1017" t="n">
        <v>1</v>
      </c>
      <c r="E1017">
        <f>HYPERLINK("file:///C:/Users/anye forti/Desktop/2025 FALL/426 COSC/YOLO_TESTING/bbox-snapshots/frame05330_id15953.png", "frame05330_id15953.png")</f>
        <v/>
      </c>
    </row>
    <row r="1018">
      <c r="A1018" t="n">
        <v>5330</v>
      </c>
      <c r="B1018" t="n">
        <v>15957</v>
      </c>
      <c r="C1018" t="n">
        <v>31323</v>
      </c>
      <c r="D1018" t="n">
        <v>1</v>
      </c>
      <c r="E1018">
        <f>HYPERLINK("file:///C:/Users/anye forti/Desktop/2025 FALL/426 COSC/YOLO_TESTING/bbox-snapshots/frame05330_id15957.png", "frame05330_id15957.png")</f>
        <v/>
      </c>
    </row>
    <row r="1019">
      <c r="A1019" t="n">
        <v>5334</v>
      </c>
      <c r="B1019" t="n">
        <v>15943</v>
      </c>
      <c r="C1019" t="n">
        <v>35112</v>
      </c>
      <c r="D1019" t="n">
        <v>1</v>
      </c>
      <c r="E1019">
        <f>HYPERLINK("file:///C:/Users/anye forti/Desktop/2025 FALL/426 COSC/YOLO_TESTING/bbox-snapshots/frame05334_id15943.png", "frame05334_id15943.png")</f>
        <v/>
      </c>
    </row>
    <row r="1020">
      <c r="A1020" t="n">
        <v>5335</v>
      </c>
      <c r="B1020" t="n">
        <v>16037</v>
      </c>
      <c r="C1020" t="n">
        <v>47684</v>
      </c>
      <c r="D1020" t="n">
        <v>1</v>
      </c>
      <c r="E1020">
        <f>HYPERLINK("file:///C:/Users/anye forti/Desktop/2025 FALL/426 COSC/YOLO_TESTING/bbox-snapshots/frame05335_id16037.png", "frame05335_id16037.png")</f>
        <v/>
      </c>
    </row>
    <row r="1021">
      <c r="A1021" t="n">
        <v>5338</v>
      </c>
      <c r="B1021" t="n">
        <v>15970</v>
      </c>
      <c r="C1021" t="n">
        <v>74348</v>
      </c>
      <c r="D1021" t="n">
        <v>2</v>
      </c>
      <c r="E1021">
        <f>HYPERLINK("file:///C:/Users/anye forti/Desktop/2025 FALL/426 COSC/YOLO_TESTING/bbox-snapshots/frame05338_id15970.png", "frame05338_id15970.png")</f>
        <v/>
      </c>
    </row>
    <row r="1022">
      <c r="A1022" t="n">
        <v>5341</v>
      </c>
      <c r="B1022" t="n">
        <v>16012</v>
      </c>
      <c r="C1022" t="n">
        <v>64939</v>
      </c>
      <c r="D1022" t="n">
        <v>2</v>
      </c>
      <c r="E1022">
        <f>HYPERLINK("file:///C:/Users/anye forti/Desktop/2025 FALL/426 COSC/YOLO_TESTING/bbox-snapshots/frame05341_id16012.png", "frame05341_id16012.png")</f>
        <v/>
      </c>
    </row>
    <row r="1023">
      <c r="A1023" t="n">
        <v>5344</v>
      </c>
      <c r="B1023" t="n">
        <v>16013</v>
      </c>
      <c r="C1023" t="n">
        <v>32016</v>
      </c>
      <c r="D1023" t="n">
        <v>1</v>
      </c>
      <c r="E1023">
        <f>HYPERLINK("file:///C:/Users/anye forti/Desktop/2025 FALL/426 COSC/YOLO_TESTING/bbox-snapshots/frame05344_id16013.png", "frame05344_id16013.png")</f>
        <v/>
      </c>
    </row>
    <row r="1024">
      <c r="A1024" t="n">
        <v>5345</v>
      </c>
      <c r="B1024" t="n">
        <v>16020</v>
      </c>
      <c r="C1024" t="n">
        <v>65007</v>
      </c>
      <c r="D1024" t="n">
        <v>2</v>
      </c>
      <c r="E1024">
        <f>HYPERLINK("file:///C:/Users/anye forti/Desktop/2025 FALL/426 COSC/YOLO_TESTING/bbox-snapshots/frame05345_id16020.png", "frame05345_id16020.png")</f>
        <v/>
      </c>
    </row>
    <row r="1025">
      <c r="A1025" t="n">
        <v>5352</v>
      </c>
      <c r="B1025" t="n">
        <v>16015</v>
      </c>
      <c r="C1025" t="n">
        <v>39780</v>
      </c>
      <c r="D1025" t="n">
        <v>1</v>
      </c>
      <c r="E1025">
        <f>HYPERLINK("file:///C:/Users/anye forti/Desktop/2025 FALL/426 COSC/YOLO_TESTING/bbox-snapshots/frame05352_id16015.png", "frame05352_id16015.png")</f>
        <v/>
      </c>
    </row>
    <row r="1026">
      <c r="A1026" t="n">
        <v>5355</v>
      </c>
      <c r="B1026" t="n">
        <v>16019</v>
      </c>
      <c r="C1026" t="n">
        <v>14204</v>
      </c>
      <c r="D1026" t="n">
        <v>1</v>
      </c>
      <c r="E1026">
        <f>HYPERLINK("file:///C:/Users/anye forti/Desktop/2025 FALL/426 COSC/YOLO_TESTING/bbox-snapshots/frame05355_id16019.png", "frame05355_id16019.png")</f>
        <v/>
      </c>
    </row>
    <row r="1027">
      <c r="A1027" t="n">
        <v>5357</v>
      </c>
      <c r="B1027" t="n">
        <v>16049</v>
      </c>
      <c r="C1027" t="n">
        <v>56392</v>
      </c>
      <c r="D1027" t="n">
        <v>1</v>
      </c>
      <c r="E1027">
        <f>HYPERLINK("file:///C:/Users/anye forti/Desktop/2025 FALL/426 COSC/YOLO_TESTING/bbox-snapshots/frame05357_id16049.png", "frame05357_id16049.png")</f>
        <v/>
      </c>
    </row>
    <row r="1028">
      <c r="A1028" t="n">
        <v>5361</v>
      </c>
      <c r="B1028" t="n">
        <v>16064</v>
      </c>
      <c r="C1028" t="n">
        <v>40964</v>
      </c>
      <c r="D1028" t="n">
        <v>1</v>
      </c>
      <c r="E1028">
        <f>HYPERLINK("file:///C:/Users/anye forti/Desktop/2025 FALL/426 COSC/YOLO_TESTING/bbox-snapshots/frame05361_id16064.png", "frame05361_id16064.png")</f>
        <v/>
      </c>
    </row>
    <row r="1029">
      <c r="A1029" t="n">
        <v>5370</v>
      </c>
      <c r="B1029" t="n">
        <v>16010</v>
      </c>
      <c r="C1029" t="n">
        <v>39006</v>
      </c>
      <c r="D1029" t="n">
        <v>1</v>
      </c>
      <c r="E1029">
        <f>HYPERLINK("file:///C:/Users/anye forti/Desktop/2025 FALL/426 COSC/YOLO_TESTING/bbox-snapshots/frame05370_id16010.png", "frame05370_id16010.png")</f>
        <v/>
      </c>
    </row>
    <row r="1030">
      <c r="A1030" t="n">
        <v>5374</v>
      </c>
      <c r="B1030" t="n">
        <v>16216</v>
      </c>
      <c r="C1030" t="n">
        <v>26928</v>
      </c>
      <c r="D1030" t="n">
        <v>1</v>
      </c>
      <c r="E1030">
        <f>HYPERLINK("file:///C:/Users/anye forti/Desktop/2025 FALL/426 COSC/YOLO_TESTING/bbox-snapshots/frame05374_id16216.png", "frame05374_id16216.png")</f>
        <v/>
      </c>
    </row>
    <row r="1031">
      <c r="A1031" t="n">
        <v>5376</v>
      </c>
      <c r="B1031" t="n">
        <v>16136</v>
      </c>
      <c r="C1031" t="n">
        <v>43848</v>
      </c>
      <c r="D1031" t="n">
        <v>1</v>
      </c>
      <c r="E1031">
        <f>HYPERLINK("file:///C:/Users/anye forti/Desktop/2025 FALL/426 COSC/YOLO_TESTING/bbox-snapshots/frame05376_id16136.png", "frame05376_id16136.png")</f>
        <v/>
      </c>
    </row>
    <row r="1032">
      <c r="A1032" t="n">
        <v>5379</v>
      </c>
      <c r="B1032" t="n">
        <v>16155</v>
      </c>
      <c r="C1032" t="n">
        <v>37570</v>
      </c>
      <c r="D1032" t="n">
        <v>1</v>
      </c>
      <c r="E1032">
        <f>HYPERLINK("file:///C:/Users/anye forti/Desktop/2025 FALL/426 COSC/YOLO_TESTING/bbox-snapshots/frame05379_id16155.png", "frame05379_id16155.png")</f>
        <v/>
      </c>
    </row>
    <row r="1033">
      <c r="A1033" t="n">
        <v>5380</v>
      </c>
      <c r="B1033" t="n">
        <v>16175</v>
      </c>
      <c r="C1033" t="n">
        <v>42840</v>
      </c>
      <c r="D1033" t="n">
        <v>1</v>
      </c>
      <c r="E1033">
        <f>HYPERLINK("file:///C:/Users/anye forti/Desktop/2025 FALL/426 COSC/YOLO_TESTING/bbox-snapshots/frame05380_id16175.png", "frame05380_id16175.png")</f>
        <v/>
      </c>
    </row>
    <row r="1034">
      <c r="A1034" t="n">
        <v>5385</v>
      </c>
      <c r="B1034" t="n">
        <v>16183</v>
      </c>
      <c r="C1034" t="n">
        <v>38606</v>
      </c>
      <c r="D1034" t="n">
        <v>1</v>
      </c>
      <c r="E1034">
        <f>HYPERLINK("file:///C:/Users/anye forti/Desktop/2025 FALL/426 COSC/YOLO_TESTING/bbox-snapshots/frame05385_id16183.png", "frame05385_id16183.png")</f>
        <v/>
      </c>
    </row>
    <row r="1035">
      <c r="A1035" t="n">
        <v>5386</v>
      </c>
      <c r="B1035" t="n">
        <v>16173</v>
      </c>
      <c r="C1035" t="n">
        <v>48312</v>
      </c>
      <c r="D1035" t="n">
        <v>1</v>
      </c>
      <c r="E1035">
        <f>HYPERLINK("file:///C:/Users/anye forti/Desktop/2025 FALL/426 COSC/YOLO_TESTING/bbox-snapshots/frame05386_id16173.png", "frame05386_id16173.png")</f>
        <v/>
      </c>
    </row>
    <row r="1036">
      <c r="A1036" t="n">
        <v>5390</v>
      </c>
      <c r="B1036" t="n">
        <v>16214</v>
      </c>
      <c r="C1036" t="n">
        <v>31050</v>
      </c>
      <c r="D1036" t="n">
        <v>1</v>
      </c>
      <c r="E1036">
        <f>HYPERLINK("file:///C:/Users/anye forti/Desktop/2025 FALL/426 COSC/YOLO_TESTING/bbox-snapshots/frame05390_id16214.png", "frame05390_id16214.png")</f>
        <v/>
      </c>
    </row>
    <row r="1037">
      <c r="A1037" t="n">
        <v>5391</v>
      </c>
      <c r="B1037" t="n">
        <v>16228</v>
      </c>
      <c r="C1037" t="n">
        <v>27951</v>
      </c>
      <c r="D1037" t="n">
        <v>1</v>
      </c>
      <c r="E1037">
        <f>HYPERLINK("file:///C:/Users/anye forti/Desktop/2025 FALL/426 COSC/YOLO_TESTING/bbox-snapshots/frame05391_id16228.png", "frame05391_id16228.png")</f>
        <v/>
      </c>
    </row>
    <row r="1038">
      <c r="A1038" t="n">
        <v>5395</v>
      </c>
      <c r="B1038" t="n">
        <v>16231</v>
      </c>
      <c r="C1038" t="n">
        <v>44506</v>
      </c>
      <c r="D1038" t="n">
        <v>1</v>
      </c>
      <c r="E1038">
        <f>HYPERLINK("file:///C:/Users/anye forti/Desktop/2025 FALL/426 COSC/YOLO_TESTING/bbox-snapshots/frame05395_id16231.png", "frame05395_id16231.png")</f>
        <v/>
      </c>
    </row>
    <row r="1039">
      <c r="A1039" t="n">
        <v>5396</v>
      </c>
      <c r="B1039" t="n">
        <v>16289</v>
      </c>
      <c r="C1039" t="n">
        <v>23547</v>
      </c>
      <c r="D1039" t="n">
        <v>1</v>
      </c>
      <c r="E1039">
        <f>HYPERLINK("file:///C:/Users/anye forti/Desktop/2025 FALL/426 COSC/YOLO_TESTING/bbox-snapshots/frame05396_id16289.png", "frame05396_id16289.png")</f>
        <v/>
      </c>
    </row>
    <row r="1040">
      <c r="A1040" t="n">
        <v>5399</v>
      </c>
      <c r="B1040" t="n">
        <v>16290</v>
      </c>
      <c r="C1040" t="n">
        <v>28050</v>
      </c>
      <c r="D1040" t="n">
        <v>1</v>
      </c>
      <c r="E1040">
        <f>HYPERLINK("file:///C:/Users/anye forti/Desktop/2025 FALL/426 COSC/YOLO_TESTING/bbox-snapshots/frame05399_id16290.png", "frame05399_id16290.png")</f>
        <v/>
      </c>
    </row>
    <row r="1041">
      <c r="A1041" t="n">
        <v>5399</v>
      </c>
      <c r="B1041" t="n">
        <v>16359</v>
      </c>
      <c r="C1041" t="n">
        <v>24948</v>
      </c>
      <c r="D1041" t="n">
        <v>1</v>
      </c>
      <c r="E1041">
        <f>HYPERLINK("file:///C:/Users/anye forti/Desktop/2025 FALL/426 COSC/YOLO_TESTING/bbox-snapshots/frame05399_id16359.png", "frame05399_id16359.png")</f>
        <v/>
      </c>
    </row>
    <row r="1042">
      <c r="A1042" t="n">
        <v>5403</v>
      </c>
      <c r="B1042" t="n">
        <v>16318</v>
      </c>
      <c r="C1042" t="n">
        <v>29070</v>
      </c>
      <c r="D1042" t="n">
        <v>1</v>
      </c>
      <c r="E1042">
        <f>HYPERLINK("file:///C:/Users/anye forti/Desktop/2025 FALL/426 COSC/YOLO_TESTING/bbox-snapshots/frame05403_id16318.png", "frame05403_id16318.png")</f>
        <v/>
      </c>
    </row>
    <row r="1043">
      <c r="A1043" t="n">
        <v>5405</v>
      </c>
      <c r="B1043" t="n">
        <v>16373</v>
      </c>
      <c r="C1043" t="n">
        <v>51541</v>
      </c>
      <c r="D1043" t="n">
        <v>1</v>
      </c>
      <c r="E1043">
        <f>HYPERLINK("file:///C:/Users/anye forti/Desktop/2025 FALL/426 COSC/YOLO_TESTING/bbox-snapshots/frame05405_id16373.png", "frame05405_id16373.png")</f>
        <v/>
      </c>
    </row>
    <row r="1044">
      <c r="A1044" t="n">
        <v>5413</v>
      </c>
      <c r="B1044" t="n">
        <v>16334</v>
      </c>
      <c r="C1044" t="n">
        <v>58261</v>
      </c>
      <c r="D1044" t="n">
        <v>1</v>
      </c>
      <c r="E1044">
        <f>HYPERLINK("file:///C:/Users/anye forti/Desktop/2025 FALL/426 COSC/YOLO_TESTING/bbox-snapshots/frame05413_id16334.png", "frame05413_id16334.png")</f>
        <v/>
      </c>
    </row>
    <row r="1045">
      <c r="A1045" t="n">
        <v>5443</v>
      </c>
      <c r="B1045" t="n">
        <v>16464</v>
      </c>
      <c r="C1045" t="n">
        <v>27360</v>
      </c>
      <c r="D1045" t="n">
        <v>1</v>
      </c>
      <c r="E1045">
        <f>HYPERLINK("file:///C:/Users/anye forti/Desktop/2025 FALL/426 COSC/YOLO_TESTING/bbox-snapshots/frame05443_id16464.png", "frame05443_id16464.png")</f>
        <v/>
      </c>
    </row>
    <row r="1046">
      <c r="A1046" t="n">
        <v>5444</v>
      </c>
      <c r="B1046" t="n">
        <v>16462</v>
      </c>
      <c r="C1046" t="n">
        <v>34176</v>
      </c>
      <c r="D1046" t="n">
        <v>1</v>
      </c>
      <c r="E1046">
        <f>HYPERLINK("file:///C:/Users/anye forti/Desktop/2025 FALL/426 COSC/YOLO_TESTING/bbox-snapshots/frame05444_id16462.png", "frame05444_id16462.png")</f>
        <v/>
      </c>
    </row>
    <row r="1047">
      <c r="A1047" t="n">
        <v>5448</v>
      </c>
      <c r="B1047" t="n">
        <v>16473</v>
      </c>
      <c r="C1047" t="n">
        <v>73143</v>
      </c>
      <c r="D1047" t="n">
        <v>2</v>
      </c>
      <c r="E1047">
        <f>HYPERLINK("file:///C:/Users/anye forti/Desktop/2025 FALL/426 COSC/YOLO_TESTING/bbox-snapshots/frame05448_id16473.png", "frame05448_id16473.png")</f>
        <v/>
      </c>
    </row>
    <row r="1048">
      <c r="A1048" t="n">
        <v>5453</v>
      </c>
      <c r="B1048" t="n">
        <v>16496</v>
      </c>
      <c r="C1048" t="n">
        <v>58824</v>
      </c>
      <c r="D1048" t="n">
        <v>1</v>
      </c>
      <c r="E1048">
        <f>HYPERLINK("file:///C:/Users/anye forti/Desktop/2025 FALL/426 COSC/YOLO_TESTING/bbox-snapshots/frame05453_id16496.png", "frame05453_id16496.png")</f>
        <v/>
      </c>
    </row>
    <row r="1049">
      <c r="A1049" t="n">
        <v>5464</v>
      </c>
      <c r="B1049" t="n">
        <v>16494</v>
      </c>
      <c r="C1049" t="n">
        <v>48555</v>
      </c>
      <c r="D1049" t="n">
        <v>1</v>
      </c>
      <c r="E1049">
        <f>HYPERLINK("file:///C:/Users/anye forti/Desktop/2025 FALL/426 COSC/YOLO_TESTING/bbox-snapshots/frame05464_id16494.png", "frame05464_id16494.png")</f>
        <v/>
      </c>
    </row>
    <row r="1050">
      <c r="A1050" t="n">
        <v>5467</v>
      </c>
      <c r="B1050" t="n">
        <v>16502</v>
      </c>
      <c r="C1050" t="n">
        <v>43824</v>
      </c>
      <c r="D1050" t="n">
        <v>1</v>
      </c>
      <c r="E1050">
        <f>HYPERLINK("file:///C:/Users/anye forti/Desktop/2025 FALL/426 COSC/YOLO_TESTING/bbox-snapshots/frame05467_id16502.png", "frame05467_id16502.png")</f>
        <v/>
      </c>
    </row>
    <row r="1051">
      <c r="A1051" t="n">
        <v>5475</v>
      </c>
      <c r="B1051" t="n">
        <v>16517</v>
      </c>
      <c r="C1051" t="n">
        <v>47580</v>
      </c>
      <c r="D1051" t="n">
        <v>1</v>
      </c>
      <c r="E1051">
        <f>HYPERLINK("file:///C:/Users/anye forti/Desktop/2025 FALL/426 COSC/YOLO_TESTING/bbox-snapshots/frame05475_id16517.png", "frame05475_id16517.png")</f>
        <v/>
      </c>
    </row>
    <row r="1052">
      <c r="A1052" t="n">
        <v>5475</v>
      </c>
      <c r="B1052" t="n">
        <v>16530</v>
      </c>
      <c r="C1052" t="n">
        <v>52234</v>
      </c>
      <c r="D1052" t="n">
        <v>1</v>
      </c>
      <c r="E1052">
        <f>HYPERLINK("file:///C:/Users/anye forti/Desktop/2025 FALL/426 COSC/YOLO_TESTING/bbox-snapshots/frame05475_id16530.png", "frame05475_id16530.png")</f>
        <v/>
      </c>
    </row>
    <row r="1053">
      <c r="A1053" t="n">
        <v>5487</v>
      </c>
      <c r="B1053" t="n">
        <v>16542</v>
      </c>
      <c r="C1053" t="n">
        <v>49082</v>
      </c>
      <c r="D1053" t="n">
        <v>1</v>
      </c>
      <c r="E1053">
        <f>HYPERLINK("file:///C:/Users/anye forti/Desktop/2025 FALL/426 COSC/YOLO_TESTING/bbox-snapshots/frame05487_id16542.png", "frame05487_id16542.png")</f>
        <v/>
      </c>
    </row>
    <row r="1054">
      <c r="A1054" t="n">
        <v>5491</v>
      </c>
      <c r="B1054" t="n">
        <v>16554</v>
      </c>
      <c r="C1054" t="n">
        <v>63516</v>
      </c>
      <c r="D1054" t="n">
        <v>2</v>
      </c>
      <c r="E1054">
        <f>HYPERLINK("file:///C:/Users/anye forti/Desktop/2025 FALL/426 COSC/YOLO_TESTING/bbox-snapshots/frame05491_id16554.png", "frame05491_id16554.png")</f>
        <v/>
      </c>
    </row>
    <row r="1055">
      <c r="A1055" t="n">
        <v>5494</v>
      </c>
      <c r="B1055" t="n">
        <v>16608</v>
      </c>
      <c r="C1055" t="n">
        <v>24354</v>
      </c>
      <c r="D1055" t="n">
        <v>1</v>
      </c>
      <c r="E1055">
        <f>HYPERLINK("file:///C:/Users/anye forti/Desktop/2025 FALL/426 COSC/YOLO_TESTING/bbox-snapshots/frame05494_id16608.png", "frame05494_id16608.png")</f>
        <v/>
      </c>
    </row>
    <row r="1056">
      <c r="A1056" t="n">
        <v>5495</v>
      </c>
      <c r="B1056" t="n">
        <v>16574</v>
      </c>
      <c r="C1056" t="n">
        <v>46116</v>
      </c>
      <c r="D1056" t="n">
        <v>1</v>
      </c>
      <c r="E1056">
        <f>HYPERLINK("file:///C:/Users/anye forti/Desktop/2025 FALL/426 COSC/YOLO_TESTING/bbox-snapshots/frame05495_id16574.png", "frame05495_id16574.png")</f>
        <v/>
      </c>
    </row>
    <row r="1057">
      <c r="A1057" t="n">
        <v>5498</v>
      </c>
      <c r="B1057" t="n">
        <v>16609</v>
      </c>
      <c r="C1057" t="n">
        <v>20880</v>
      </c>
      <c r="D1057" t="n">
        <v>1</v>
      </c>
      <c r="E1057">
        <f>HYPERLINK("file:///C:/Users/anye forti/Desktop/2025 FALL/426 COSC/YOLO_TESTING/bbox-snapshots/frame05498_id16609.png", "frame05498_id16609.png")</f>
        <v/>
      </c>
    </row>
    <row r="1058">
      <c r="A1058" t="n">
        <v>5499</v>
      </c>
      <c r="B1058" t="n">
        <v>16495</v>
      </c>
      <c r="C1058" t="n">
        <v>52419</v>
      </c>
      <c r="D1058" t="n">
        <v>1</v>
      </c>
      <c r="E1058">
        <f>HYPERLINK("file:///C:/Users/anye forti/Desktop/2025 FALL/426 COSC/YOLO_TESTING/bbox-snapshots/frame05499_id16495.png", "frame05499_id16495.png")</f>
        <v/>
      </c>
    </row>
    <row r="1059">
      <c r="A1059" t="n">
        <v>5502</v>
      </c>
      <c r="B1059" t="n">
        <v>16584</v>
      </c>
      <c r="C1059" t="n">
        <v>24674</v>
      </c>
      <c r="D1059" t="n">
        <v>1</v>
      </c>
      <c r="E1059">
        <f>HYPERLINK("file:///C:/Users/anye forti/Desktop/2025 FALL/426 COSC/YOLO_TESTING/bbox-snapshots/frame05502_id16584.png", "frame05502_id16584.png")</f>
        <v/>
      </c>
    </row>
    <row r="1060">
      <c r="A1060" t="n">
        <v>5505</v>
      </c>
      <c r="B1060" t="n">
        <v>16540</v>
      </c>
      <c r="C1060" t="n">
        <v>64088</v>
      </c>
      <c r="D1060" t="n">
        <v>2</v>
      </c>
      <c r="E1060">
        <f>HYPERLINK("file:///C:/Users/anye forti/Desktop/2025 FALL/426 COSC/YOLO_TESTING/bbox-snapshots/frame05505_id16540.png", "frame05505_id16540.png")</f>
        <v/>
      </c>
    </row>
    <row r="1061">
      <c r="A1061" t="n">
        <v>5506</v>
      </c>
      <c r="B1061" t="n">
        <v>16614</v>
      </c>
      <c r="C1061" t="n">
        <v>29750</v>
      </c>
      <c r="D1061" t="n">
        <v>1</v>
      </c>
      <c r="E1061">
        <f>HYPERLINK("file:///C:/Users/anye forti/Desktop/2025 FALL/426 COSC/YOLO_TESTING/bbox-snapshots/frame05506_id16614.png", "frame05506_id16614.png")</f>
        <v/>
      </c>
    </row>
    <row r="1062">
      <c r="A1062" t="n">
        <v>5508</v>
      </c>
      <c r="B1062" t="n">
        <v>16680</v>
      </c>
      <c r="C1062" t="n">
        <v>41528</v>
      </c>
      <c r="D1062" t="n">
        <v>1</v>
      </c>
      <c r="E1062">
        <f>HYPERLINK("file:///C:/Users/anye forti/Desktop/2025 FALL/426 COSC/YOLO_TESTING/bbox-snapshots/frame05508_id16680.png", "frame05508_id16680.png")</f>
        <v/>
      </c>
    </row>
    <row r="1063">
      <c r="A1063" t="n">
        <v>5509</v>
      </c>
      <c r="B1063" t="n">
        <v>16619</v>
      </c>
      <c r="C1063" t="n">
        <v>26650</v>
      </c>
      <c r="D1063" t="n">
        <v>1</v>
      </c>
      <c r="E1063">
        <f>HYPERLINK("file:///C:/Users/anye forti/Desktop/2025 FALL/426 COSC/YOLO_TESTING/bbox-snapshots/frame05509_id16619.png", "frame05509_id16619.png")</f>
        <v/>
      </c>
    </row>
    <row r="1064">
      <c r="A1064" t="n">
        <v>5511</v>
      </c>
      <c r="B1064" t="n">
        <v>16636</v>
      </c>
      <c r="C1064" t="n">
        <v>34067</v>
      </c>
      <c r="D1064" t="n">
        <v>1</v>
      </c>
      <c r="E1064">
        <f>HYPERLINK("file:///C:/Users/anye forti/Desktop/2025 FALL/426 COSC/YOLO_TESTING/bbox-snapshots/frame05511_id16636.png", "frame05511_id16636.png")</f>
        <v/>
      </c>
    </row>
    <row r="1065">
      <c r="A1065" t="n">
        <v>5517</v>
      </c>
      <c r="B1065" t="n">
        <v>16677</v>
      </c>
      <c r="C1065" t="n">
        <v>47866</v>
      </c>
      <c r="D1065" t="n">
        <v>1</v>
      </c>
      <c r="E1065">
        <f>HYPERLINK("file:///C:/Users/anye forti/Desktop/2025 FALL/426 COSC/YOLO_TESTING/bbox-snapshots/frame05517_id16677.png", "frame05517_id16677.png")</f>
        <v/>
      </c>
    </row>
    <row r="1066">
      <c r="A1066" t="n">
        <v>5524</v>
      </c>
      <c r="B1066" t="n">
        <v>16678</v>
      </c>
      <c r="C1066" t="n">
        <v>42480</v>
      </c>
      <c r="D1066" t="n">
        <v>1</v>
      </c>
      <c r="E1066">
        <f>HYPERLINK("file:///C:/Users/anye forti/Desktop/2025 FALL/426 COSC/YOLO_TESTING/bbox-snapshots/frame05524_id16678.png", "frame05524_id16678.png")</f>
        <v/>
      </c>
    </row>
    <row r="1067">
      <c r="A1067" t="n">
        <v>5526</v>
      </c>
      <c r="B1067" t="n">
        <v>16761</v>
      </c>
      <c r="C1067" t="n">
        <v>40768</v>
      </c>
      <c r="D1067" t="n">
        <v>1</v>
      </c>
      <c r="E1067">
        <f>HYPERLINK("file:///C:/Users/anye forti/Desktop/2025 FALL/426 COSC/YOLO_TESTING/bbox-snapshots/frame05526_id16761.png", "frame05526_id16761.png")</f>
        <v/>
      </c>
    </row>
    <row r="1068">
      <c r="A1068" t="n">
        <v>5529</v>
      </c>
      <c r="B1068" t="n">
        <v>16868</v>
      </c>
      <c r="C1068" t="n">
        <v>30192</v>
      </c>
      <c r="D1068" t="n">
        <v>1</v>
      </c>
      <c r="E1068">
        <f>HYPERLINK("file:///C:/Users/anye forti/Desktop/2025 FALL/426 COSC/YOLO_TESTING/bbox-snapshots/frame05529_id16868.png", "frame05529_id16868.png")</f>
        <v/>
      </c>
    </row>
    <row r="1069">
      <c r="A1069" t="n">
        <v>5534</v>
      </c>
      <c r="B1069" t="n">
        <v>16781</v>
      </c>
      <c r="C1069" t="n">
        <v>34344</v>
      </c>
      <c r="D1069" t="n">
        <v>1</v>
      </c>
      <c r="E1069">
        <f>HYPERLINK("file:///C:/Users/anye forti/Desktop/2025 FALL/426 COSC/YOLO_TESTING/bbox-snapshots/frame05534_id16781.png", "frame05534_id16781.png")</f>
        <v/>
      </c>
    </row>
    <row r="1070">
      <c r="A1070" t="n">
        <v>5534</v>
      </c>
      <c r="B1070" t="n">
        <v>16814</v>
      </c>
      <c r="C1070" t="n">
        <v>29546</v>
      </c>
      <c r="D1070" t="n">
        <v>1</v>
      </c>
      <c r="E1070">
        <f>HYPERLINK("file:///C:/Users/anye forti/Desktop/2025 FALL/426 COSC/YOLO_TESTING/bbox-snapshots/frame05534_id16814.png", "frame05534_id16814.png")</f>
        <v/>
      </c>
    </row>
    <row r="1071">
      <c r="A1071" t="n">
        <v>5549</v>
      </c>
      <c r="B1071" t="n">
        <v>16851</v>
      </c>
      <c r="C1071" t="n">
        <v>32289</v>
      </c>
      <c r="D1071" t="n">
        <v>1</v>
      </c>
      <c r="E1071">
        <f>HYPERLINK("file:///C:/Users/anye forti/Desktop/2025 FALL/426 COSC/YOLO_TESTING/bbox-snapshots/frame05549_id16851.png", "frame05549_id16851.png")</f>
        <v/>
      </c>
    </row>
    <row r="1072">
      <c r="A1072" t="n">
        <v>5554</v>
      </c>
      <c r="B1072" t="n">
        <v>16900</v>
      </c>
      <c r="C1072" t="n">
        <v>47940</v>
      </c>
      <c r="D1072" t="n">
        <v>1</v>
      </c>
      <c r="E1072">
        <f>HYPERLINK("file:///C:/Users/anye forti/Desktop/2025 FALL/426 COSC/YOLO_TESTING/bbox-snapshots/frame05554_id16900.png", "frame05554_id16900.png")</f>
        <v/>
      </c>
    </row>
    <row r="1073">
      <c r="A1073" t="n">
        <v>5559</v>
      </c>
      <c r="B1073" t="n">
        <v>16906</v>
      </c>
      <c r="C1073" t="n">
        <v>49250</v>
      </c>
      <c r="D1073" t="n">
        <v>1</v>
      </c>
      <c r="E1073">
        <f>HYPERLINK("file:///C:/Users/anye forti/Desktop/2025 FALL/426 COSC/YOLO_TESTING/bbox-snapshots/frame05559_id16906.png", "frame05559_id16906.png")</f>
        <v/>
      </c>
    </row>
    <row r="1074">
      <c r="A1074" t="n">
        <v>5561</v>
      </c>
      <c r="B1074" t="n">
        <v>16907</v>
      </c>
      <c r="C1074" t="n">
        <v>44390</v>
      </c>
      <c r="D1074" t="n">
        <v>1</v>
      </c>
      <c r="E1074">
        <f>HYPERLINK("file:///C:/Users/anye forti/Desktop/2025 FALL/426 COSC/YOLO_TESTING/bbox-snapshots/frame05561_id16907.png", "frame05561_id16907.png")</f>
        <v/>
      </c>
    </row>
    <row r="1075">
      <c r="A1075" t="n">
        <v>5570</v>
      </c>
      <c r="B1075" t="n">
        <v>16927</v>
      </c>
      <c r="C1075" t="n">
        <v>37392</v>
      </c>
      <c r="D1075" t="n">
        <v>1</v>
      </c>
      <c r="E1075">
        <f>HYPERLINK("file:///C:/Users/anye forti/Desktop/2025 FALL/426 COSC/YOLO_TESTING/bbox-snapshots/frame05570_id16927.png", "frame05570_id16927.png")</f>
        <v/>
      </c>
    </row>
    <row r="1076">
      <c r="A1076" t="n">
        <v>5573</v>
      </c>
      <c r="B1076" t="n">
        <v>16951</v>
      </c>
      <c r="C1076" t="n">
        <v>52303</v>
      </c>
      <c r="D1076" t="n">
        <v>1</v>
      </c>
      <c r="E1076">
        <f>HYPERLINK("file:///C:/Users/anye forti/Desktop/2025 FALL/426 COSC/YOLO_TESTING/bbox-snapshots/frame05573_id16951.png", "frame05573_id16951.png")</f>
        <v/>
      </c>
    </row>
    <row r="1077">
      <c r="A1077" t="n">
        <v>5576</v>
      </c>
      <c r="B1077" t="n">
        <v>16850</v>
      </c>
      <c r="C1077" t="n">
        <v>41340</v>
      </c>
      <c r="D1077" t="n">
        <v>1</v>
      </c>
      <c r="E1077">
        <f>HYPERLINK("file:///C:/Users/anye forti/Desktop/2025 FALL/426 COSC/YOLO_TESTING/bbox-snapshots/frame05576_id16850.png", "frame05576_id16850.png")</f>
        <v/>
      </c>
    </row>
    <row r="1078">
      <c r="A1078" t="n">
        <v>5607</v>
      </c>
      <c r="B1078" t="n">
        <v>17121</v>
      </c>
      <c r="C1078" t="n">
        <v>72710</v>
      </c>
      <c r="D1078" t="n">
        <v>2</v>
      </c>
      <c r="E1078">
        <f>HYPERLINK("file:///C:/Users/anye forti/Desktop/2025 FALL/426 COSC/YOLO_TESTING/bbox-snapshots/frame05607_id17121.png", "frame05607_id17121.png")</f>
        <v/>
      </c>
    </row>
    <row r="1079">
      <c r="A1079" t="n">
        <v>5610</v>
      </c>
      <c r="B1079" t="n">
        <v>17083</v>
      </c>
      <c r="C1079" t="n">
        <v>32942</v>
      </c>
      <c r="D1079" t="n">
        <v>1</v>
      </c>
      <c r="E1079">
        <f>HYPERLINK("file:///C:/Users/anye forti/Desktop/2025 FALL/426 COSC/YOLO_TESTING/bbox-snapshots/frame05610_id17083.png", "frame05610_id17083.png")</f>
        <v/>
      </c>
    </row>
    <row r="1080">
      <c r="A1080" t="n">
        <v>5615</v>
      </c>
      <c r="B1080" t="n">
        <v>17094</v>
      </c>
      <c r="C1080" t="n">
        <v>57597</v>
      </c>
      <c r="D1080" t="n">
        <v>1</v>
      </c>
      <c r="E1080">
        <f>HYPERLINK("file:///C:/Users/anye forti/Desktop/2025 FALL/426 COSC/YOLO_TESTING/bbox-snapshots/frame05615_id17094.png", "frame05615_id17094.png")</f>
        <v/>
      </c>
    </row>
    <row r="1081">
      <c r="A1081" t="n">
        <v>5616</v>
      </c>
      <c r="B1081" t="n">
        <v>17066</v>
      </c>
      <c r="C1081" t="n">
        <v>41382</v>
      </c>
      <c r="D1081" t="n">
        <v>1</v>
      </c>
      <c r="E1081">
        <f>HYPERLINK("file:///C:/Users/anye forti/Desktop/2025 FALL/426 COSC/YOLO_TESTING/bbox-snapshots/frame05616_id17066.png", "frame05616_id17066.png")</f>
        <v/>
      </c>
    </row>
    <row r="1082">
      <c r="A1082" t="n">
        <v>5621</v>
      </c>
      <c r="B1082" t="n">
        <v>17105</v>
      </c>
      <c r="C1082" t="n">
        <v>44160</v>
      </c>
      <c r="D1082" t="n">
        <v>1</v>
      </c>
      <c r="E1082">
        <f>HYPERLINK("file:///C:/Users/anye forti/Desktop/2025 FALL/426 COSC/YOLO_TESTING/bbox-snapshots/frame05621_id17105.png", "frame05621_id17105.png")</f>
        <v/>
      </c>
    </row>
    <row r="1083">
      <c r="A1083" t="n">
        <v>5623</v>
      </c>
      <c r="B1083" t="n">
        <v>17156</v>
      </c>
      <c r="C1083" t="n">
        <v>15250</v>
      </c>
      <c r="D1083" t="n">
        <v>1</v>
      </c>
      <c r="E1083">
        <f>HYPERLINK("file:///C:/Users/anye forti/Desktop/2025 FALL/426 COSC/YOLO_TESTING/bbox-snapshots/frame05623_id17156.png", "frame05623_id17156.png")</f>
        <v/>
      </c>
    </row>
    <row r="1084">
      <c r="A1084" t="n">
        <v>5628</v>
      </c>
      <c r="B1084" t="n">
        <v>17093</v>
      </c>
      <c r="C1084" t="n">
        <v>23701</v>
      </c>
      <c r="D1084" t="n">
        <v>1</v>
      </c>
      <c r="E1084">
        <f>HYPERLINK("file:///C:/Users/anye forti/Desktop/2025 FALL/426 COSC/YOLO_TESTING/bbox-snapshots/frame05628_id17093.png", "frame05628_id17093.png")</f>
        <v/>
      </c>
    </row>
    <row r="1085">
      <c r="A1085" t="n">
        <v>5635</v>
      </c>
      <c r="B1085" t="n">
        <v>17122</v>
      </c>
      <c r="C1085" t="n">
        <v>39130</v>
      </c>
      <c r="D1085" t="n">
        <v>1</v>
      </c>
      <c r="E1085">
        <f>HYPERLINK("file:///C:/Users/anye forti/Desktop/2025 FALL/426 COSC/YOLO_TESTING/bbox-snapshots/frame05635_id17122.png", "frame05635_id17122.png")</f>
        <v/>
      </c>
    </row>
    <row r="1086">
      <c r="A1086" t="n">
        <v>5646</v>
      </c>
      <c r="B1086" t="n">
        <v>17158</v>
      </c>
      <c r="C1086" t="n">
        <v>40800</v>
      </c>
      <c r="D1086" t="n">
        <v>1</v>
      </c>
      <c r="E1086">
        <f>HYPERLINK("file:///C:/Users/anye forti/Desktop/2025 FALL/426 COSC/YOLO_TESTING/bbox-snapshots/frame05646_id17158.png", "frame05646_id17158.png")</f>
        <v/>
      </c>
    </row>
    <row r="1087">
      <c r="A1087" t="n">
        <v>5649</v>
      </c>
      <c r="B1087" t="n">
        <v>17169</v>
      </c>
      <c r="C1087" t="n">
        <v>47077</v>
      </c>
      <c r="D1087" t="n">
        <v>1</v>
      </c>
      <c r="E1087">
        <f>HYPERLINK("file:///C:/Users/anye forti/Desktop/2025 FALL/426 COSC/YOLO_TESTING/bbox-snapshots/frame05649_id17169.png", "frame05649_id17169.png")</f>
        <v/>
      </c>
    </row>
    <row r="1088">
      <c r="A1088" t="n">
        <v>5665</v>
      </c>
      <c r="B1088" t="n">
        <v>17224</v>
      </c>
      <c r="C1088" t="n">
        <v>48790</v>
      </c>
      <c r="D1088" t="n">
        <v>1</v>
      </c>
      <c r="E1088">
        <f>HYPERLINK("file:///C:/Users/anye forti/Desktop/2025 FALL/426 COSC/YOLO_TESTING/bbox-snapshots/frame05665_id17224.png", "frame05665_id17224.png")</f>
        <v/>
      </c>
    </row>
    <row r="1089">
      <c r="A1089" t="n">
        <v>5671</v>
      </c>
      <c r="B1089" t="n">
        <v>17232</v>
      </c>
      <c r="C1089" t="n">
        <v>36936</v>
      </c>
      <c r="D1089" t="n">
        <v>1</v>
      </c>
      <c r="E1089">
        <f>HYPERLINK("file:///C:/Users/anye forti/Desktop/2025 FALL/426 COSC/YOLO_TESTING/bbox-snapshots/frame05671_id17232.png", "frame05671_id17232.png")</f>
        <v/>
      </c>
    </row>
    <row r="1090">
      <c r="A1090" t="n">
        <v>5682</v>
      </c>
      <c r="B1090" t="n">
        <v>17281</v>
      </c>
      <c r="C1090" t="n">
        <v>54910</v>
      </c>
      <c r="D1090" t="n">
        <v>1</v>
      </c>
      <c r="E1090">
        <f>HYPERLINK("file:///C:/Users/anye forti/Desktop/2025 FALL/426 COSC/YOLO_TESTING/bbox-snapshots/frame05682_id17281.png", "frame05682_id17281.png")</f>
        <v/>
      </c>
    </row>
    <row r="1091">
      <c r="A1091" t="n">
        <v>5685</v>
      </c>
      <c r="B1091" t="n">
        <v>17262</v>
      </c>
      <c r="C1091" t="n">
        <v>41205</v>
      </c>
      <c r="D1091" t="n">
        <v>1</v>
      </c>
      <c r="E1091">
        <f>HYPERLINK("file:///C:/Users/anye forti/Desktop/2025 FALL/426 COSC/YOLO_TESTING/bbox-snapshots/frame05685_id17262.png", "frame05685_id17262.png")</f>
        <v/>
      </c>
    </row>
    <row r="1092">
      <c r="A1092" t="n">
        <v>5693</v>
      </c>
      <c r="B1092" t="n">
        <v>17288</v>
      </c>
      <c r="C1092" t="n">
        <v>45220</v>
      </c>
      <c r="D1092" t="n">
        <v>1</v>
      </c>
      <c r="E1092">
        <f>HYPERLINK("file:///C:/Users/anye forti/Desktop/2025 FALL/426 COSC/YOLO_TESTING/bbox-snapshots/frame05693_id17288.png", "frame05693_id17288.png")</f>
        <v/>
      </c>
    </row>
    <row r="1093">
      <c r="A1093" t="n">
        <v>5694</v>
      </c>
      <c r="B1093" t="n">
        <v>17313</v>
      </c>
      <c r="C1093" t="n">
        <v>29216</v>
      </c>
      <c r="D1093" t="n">
        <v>1</v>
      </c>
      <c r="E1093">
        <f>HYPERLINK("file:///C:/Users/anye forti/Desktop/2025 FALL/426 COSC/YOLO_TESTING/bbox-snapshots/frame05694_id17313.png", "frame05694_id17313.png")</f>
        <v/>
      </c>
    </row>
    <row r="1094">
      <c r="A1094" t="n">
        <v>5702</v>
      </c>
      <c r="B1094" t="n">
        <v>17346</v>
      </c>
      <c r="C1094" t="n">
        <v>45240</v>
      </c>
      <c r="D1094" t="n">
        <v>1</v>
      </c>
      <c r="E1094">
        <f>HYPERLINK("file:///C:/Users/anye forti/Desktop/2025 FALL/426 COSC/YOLO_TESTING/bbox-snapshots/frame05702_id17346.png", "frame05702_id17346.png")</f>
        <v/>
      </c>
    </row>
    <row r="1095">
      <c r="A1095" t="n">
        <v>5708</v>
      </c>
      <c r="B1095" t="n">
        <v>17322</v>
      </c>
      <c r="C1095" t="n">
        <v>18126</v>
      </c>
      <c r="D1095" t="n">
        <v>1</v>
      </c>
      <c r="E1095">
        <f>HYPERLINK("file:///C:/Users/anye forti/Desktop/2025 FALL/426 COSC/YOLO_TESTING/bbox-snapshots/frame05708_id17322.png", "frame05708_id17322.png")</f>
        <v/>
      </c>
    </row>
    <row r="1096">
      <c r="A1096" t="n">
        <v>5714</v>
      </c>
      <c r="B1096" t="n">
        <v>17376</v>
      </c>
      <c r="C1096" t="n">
        <v>42480</v>
      </c>
      <c r="D1096" t="n">
        <v>1</v>
      </c>
      <c r="E1096">
        <f>HYPERLINK("file:///C:/Users/anye forti/Desktop/2025 FALL/426 COSC/YOLO_TESTING/bbox-snapshots/frame05714_id17376.png", "frame05714_id17376.png")</f>
        <v/>
      </c>
    </row>
    <row r="1097">
      <c r="A1097" t="n">
        <v>5717</v>
      </c>
      <c r="B1097" t="n">
        <v>17378</v>
      </c>
      <c r="C1097" t="n">
        <v>51150</v>
      </c>
      <c r="D1097" t="n">
        <v>1</v>
      </c>
      <c r="E1097">
        <f>HYPERLINK("file:///C:/Users/anye forti/Desktop/2025 FALL/426 COSC/YOLO_TESTING/bbox-snapshots/frame05717_id17378.png", "frame05717_id17378.png")</f>
        <v/>
      </c>
    </row>
    <row r="1098">
      <c r="A1098" t="n">
        <v>5718</v>
      </c>
      <c r="B1098" t="n">
        <v>17384</v>
      </c>
      <c r="C1098" t="n">
        <v>55080</v>
      </c>
      <c r="D1098" t="n">
        <v>1</v>
      </c>
      <c r="E1098">
        <f>HYPERLINK("file:///C:/Users/anye forti/Desktop/2025 FALL/426 COSC/YOLO_TESTING/bbox-snapshots/frame05718_id17384.png", "frame05718_id17384.png")</f>
        <v/>
      </c>
    </row>
    <row r="1099">
      <c r="A1099" t="n">
        <v>5721</v>
      </c>
      <c r="B1099" t="n">
        <v>17405</v>
      </c>
      <c r="C1099" t="n">
        <v>34221</v>
      </c>
      <c r="D1099" t="n">
        <v>1</v>
      </c>
      <c r="E1099">
        <f>HYPERLINK("file:///C:/Users/anye forti/Desktop/2025 FALL/426 COSC/YOLO_TESTING/bbox-snapshots/frame05721_id17405.png", "frame05721_id17405.png")</f>
        <v/>
      </c>
    </row>
    <row r="1100">
      <c r="A1100" t="n">
        <v>5721</v>
      </c>
      <c r="B1100" t="n">
        <v>17456</v>
      </c>
      <c r="C1100" t="n">
        <v>18704</v>
      </c>
      <c r="D1100" t="n">
        <v>1</v>
      </c>
      <c r="E1100">
        <f>HYPERLINK("file:///C:/Users/anye forti/Desktop/2025 FALL/426 COSC/YOLO_TESTING/bbox-snapshots/frame05721_id17456.png", "frame05721_id17456.png")</f>
        <v/>
      </c>
    </row>
    <row r="1101">
      <c r="A1101" t="n">
        <v>5725</v>
      </c>
      <c r="B1101" t="n">
        <v>17356</v>
      </c>
      <c r="C1101" t="n">
        <v>15246</v>
      </c>
      <c r="D1101" t="n">
        <v>1</v>
      </c>
      <c r="E1101">
        <f>HYPERLINK("file:///C:/Users/anye forti/Desktop/2025 FALL/426 COSC/YOLO_TESTING/bbox-snapshots/frame05725_id17356.png", "frame05725_id17356.png")</f>
        <v/>
      </c>
    </row>
    <row r="1102">
      <c r="A1102" t="n">
        <v>5731</v>
      </c>
      <c r="B1102" t="n">
        <v>17430</v>
      </c>
      <c r="C1102" t="n">
        <v>44736</v>
      </c>
      <c r="D1102" t="n">
        <v>1</v>
      </c>
      <c r="E1102">
        <f>HYPERLINK("file:///C:/Users/anye forti/Desktop/2025 FALL/426 COSC/YOLO_TESTING/bbox-snapshots/frame05731_id17430.png", "frame05731_id17430.png")</f>
        <v/>
      </c>
    </row>
    <row r="1103">
      <c r="A1103" t="n">
        <v>5735</v>
      </c>
      <c r="B1103" t="n">
        <v>17466</v>
      </c>
      <c r="C1103" t="n">
        <v>56610</v>
      </c>
      <c r="D1103" t="n">
        <v>1</v>
      </c>
      <c r="E1103">
        <f>HYPERLINK("file:///C:/Users/anye forti/Desktop/2025 FALL/426 COSC/YOLO_TESTING/bbox-snapshots/frame05735_id17466.png", "frame05735_id17466.png")</f>
        <v/>
      </c>
    </row>
    <row r="1104">
      <c r="A1104" t="n">
        <v>5736</v>
      </c>
      <c r="B1104" t="n">
        <v>17421</v>
      </c>
      <c r="C1104" t="n">
        <v>34692</v>
      </c>
      <c r="D1104" t="n">
        <v>1</v>
      </c>
      <c r="E1104">
        <f>HYPERLINK("file:///C:/Users/anye forti/Desktop/2025 FALL/426 COSC/YOLO_TESTING/bbox-snapshots/frame05736_id17421.png", "frame05736_id17421.png")</f>
        <v/>
      </c>
    </row>
    <row r="1105">
      <c r="A1105" t="n">
        <v>5738</v>
      </c>
      <c r="B1105" t="n">
        <v>17525</v>
      </c>
      <c r="C1105" t="n">
        <v>47397</v>
      </c>
      <c r="D1105" t="n">
        <v>1</v>
      </c>
      <c r="E1105">
        <f>HYPERLINK("file:///C:/Users/anye forti/Desktop/2025 FALL/426 COSC/YOLO_TESTING/bbox-snapshots/frame05738_id17525.png", "frame05738_id17525.png")</f>
        <v/>
      </c>
    </row>
    <row r="1106">
      <c r="A1106" t="n">
        <v>5739</v>
      </c>
      <c r="B1106" t="n">
        <v>17476</v>
      </c>
      <c r="C1106" t="n">
        <v>36600</v>
      </c>
      <c r="D1106" t="n">
        <v>1</v>
      </c>
      <c r="E1106">
        <f>HYPERLINK("file:///C:/Users/anye forti/Desktop/2025 FALL/426 COSC/YOLO_TESTING/bbox-snapshots/frame05739_id17476.png", "frame05739_id17476.png")</f>
        <v/>
      </c>
    </row>
    <row r="1107">
      <c r="A1107" t="n">
        <v>5746</v>
      </c>
      <c r="B1107" t="n">
        <v>17527</v>
      </c>
      <c r="C1107" t="n">
        <v>39024</v>
      </c>
      <c r="D1107" t="n">
        <v>1</v>
      </c>
      <c r="E1107">
        <f>HYPERLINK("file:///C:/Users/anye forti/Desktop/2025 FALL/426 COSC/YOLO_TESTING/bbox-snapshots/frame05746_id17527.png", "frame05746_id17527.png")</f>
        <v/>
      </c>
    </row>
    <row r="1108">
      <c r="A1108" t="n">
        <v>5747</v>
      </c>
      <c r="B1108" t="n">
        <v>17498</v>
      </c>
      <c r="C1108" t="n">
        <v>47526</v>
      </c>
      <c r="D1108" t="n">
        <v>1</v>
      </c>
      <c r="E1108">
        <f>HYPERLINK("file:///C:/Users/anye forti/Desktop/2025 FALL/426 COSC/YOLO_TESTING/bbox-snapshots/frame05747_id17498.png", "frame05747_id17498.png")</f>
        <v/>
      </c>
    </row>
    <row r="1109">
      <c r="A1109" t="n">
        <v>5750</v>
      </c>
      <c r="B1109" t="n">
        <v>17528</v>
      </c>
      <c r="C1109" t="n">
        <v>42054</v>
      </c>
      <c r="D1109" t="n">
        <v>1</v>
      </c>
      <c r="E1109">
        <f>HYPERLINK("file:///C:/Users/anye forti/Desktop/2025 FALL/426 COSC/YOLO_TESTING/bbox-snapshots/frame05750_id17528.png", "frame05750_id17528.png")</f>
        <v/>
      </c>
    </row>
    <row r="1110">
      <c r="A1110" t="n">
        <v>5750</v>
      </c>
      <c r="B1110" t="n">
        <v>17506</v>
      </c>
      <c r="C1110" t="n">
        <v>41583</v>
      </c>
      <c r="D1110" t="n">
        <v>1</v>
      </c>
      <c r="E1110">
        <f>HYPERLINK("file:///C:/Users/anye forti/Desktop/2025 FALL/426 COSC/YOLO_TESTING/bbox-snapshots/frame05750_id17506.png", "frame05750_id17506.png")</f>
        <v/>
      </c>
    </row>
    <row r="1111">
      <c r="A1111" t="n">
        <v>5754</v>
      </c>
      <c r="B1111" t="n">
        <v>17569</v>
      </c>
      <c r="C1111" t="n">
        <v>23427</v>
      </c>
      <c r="D1111" t="n">
        <v>1</v>
      </c>
      <c r="E1111">
        <f>HYPERLINK("file:///C:/Users/anye forti/Desktop/2025 FALL/426 COSC/YOLO_TESTING/bbox-snapshots/frame05754_id17569.png", "frame05754_id17569.png")</f>
        <v/>
      </c>
    </row>
    <row r="1112">
      <c r="A1112" t="n">
        <v>5760</v>
      </c>
      <c r="B1112" t="n">
        <v>17584</v>
      </c>
      <c r="C1112" t="n">
        <v>60690</v>
      </c>
      <c r="D1112" t="n">
        <v>2</v>
      </c>
      <c r="E1112">
        <f>HYPERLINK("file:///C:/Users/anye forti/Desktop/2025 FALL/426 COSC/YOLO_TESTING/bbox-snapshots/frame05760_id17584.png", "frame05760_id17584.png")</f>
        <v/>
      </c>
    </row>
    <row r="1113">
      <c r="A1113" t="n">
        <v>5771</v>
      </c>
      <c r="B1113" t="n">
        <v>17609</v>
      </c>
      <c r="C1113" t="n">
        <v>43740</v>
      </c>
      <c r="D1113" t="n">
        <v>1</v>
      </c>
      <c r="E1113">
        <f>HYPERLINK("file:///C:/Users/anye forti/Desktop/2025 FALL/426 COSC/YOLO_TESTING/bbox-snapshots/frame05771_id17609.png", "frame05771_id17609.png")</f>
        <v/>
      </c>
    </row>
    <row r="1114">
      <c r="A1114" t="n">
        <v>5772</v>
      </c>
      <c r="B1114" t="n">
        <v>17624</v>
      </c>
      <c r="C1114" t="n">
        <v>43600</v>
      </c>
      <c r="D1114" t="n">
        <v>1</v>
      </c>
      <c r="E1114">
        <f>HYPERLINK("file:///C:/Users/anye forti/Desktop/2025 FALL/426 COSC/YOLO_TESTING/bbox-snapshots/frame05772_id17624.png", "frame05772_id17624.png")</f>
        <v/>
      </c>
    </row>
    <row r="1115">
      <c r="A1115" t="n">
        <v>5779</v>
      </c>
      <c r="B1115" t="n">
        <v>17669</v>
      </c>
      <c r="C1115" t="n">
        <v>29253</v>
      </c>
      <c r="D1115" t="n">
        <v>1</v>
      </c>
      <c r="E1115">
        <f>HYPERLINK("file:///C:/Users/anye forti/Desktop/2025 FALL/426 COSC/YOLO_TESTING/bbox-snapshots/frame05779_id17669.png", "frame05779_id17669.png")</f>
        <v/>
      </c>
    </row>
    <row r="1116">
      <c r="A1116" t="n">
        <v>5784</v>
      </c>
      <c r="B1116" t="n">
        <v>17693</v>
      </c>
      <c r="C1116" t="n">
        <v>37044</v>
      </c>
      <c r="D1116" t="n">
        <v>1</v>
      </c>
      <c r="E1116">
        <f>HYPERLINK("file:///C:/Users/anye forti/Desktop/2025 FALL/426 COSC/YOLO_TESTING/bbox-snapshots/frame05784_id17693.png", "frame05784_id17693.png")</f>
        <v/>
      </c>
    </row>
    <row r="1117">
      <c r="A1117" t="n">
        <v>5792</v>
      </c>
      <c r="B1117" t="n">
        <v>17703</v>
      </c>
      <c r="C1117" t="n">
        <v>43423</v>
      </c>
      <c r="D1117" t="n">
        <v>1</v>
      </c>
      <c r="E1117">
        <f>HYPERLINK("file:///C:/Users/anye forti/Desktop/2025 FALL/426 COSC/YOLO_TESTING/bbox-snapshots/frame05792_id17703.png", "frame05792_id17703.png")</f>
        <v/>
      </c>
    </row>
    <row r="1118">
      <c r="A1118" t="n">
        <v>5792</v>
      </c>
      <c r="B1118" t="n">
        <v>17683</v>
      </c>
      <c r="C1118" t="n">
        <v>38628</v>
      </c>
      <c r="D1118" t="n">
        <v>1</v>
      </c>
      <c r="E1118">
        <f>HYPERLINK("file:///C:/Users/anye forti/Desktop/2025 FALL/426 COSC/YOLO_TESTING/bbox-snapshots/frame05792_id17683.png", "frame05792_id17683.png")</f>
        <v/>
      </c>
    </row>
    <row r="1119">
      <c r="A1119" t="n">
        <v>5794</v>
      </c>
      <c r="B1119" t="n">
        <v>17728</v>
      </c>
      <c r="C1119" t="n">
        <v>34545</v>
      </c>
      <c r="D1119" t="n">
        <v>1</v>
      </c>
      <c r="E1119">
        <f>HYPERLINK("file:///C:/Users/anye forti/Desktop/2025 FALL/426 COSC/YOLO_TESTING/bbox-snapshots/frame05794_id17728.png", "frame05794_id17728.png")</f>
        <v/>
      </c>
    </row>
    <row r="1120">
      <c r="A1120" t="n">
        <v>5800</v>
      </c>
      <c r="B1120" t="n">
        <v>17734</v>
      </c>
      <c r="C1120" t="n">
        <v>64277</v>
      </c>
      <c r="D1120" t="n">
        <v>2</v>
      </c>
      <c r="E1120">
        <f>HYPERLINK("file:///C:/Users/anye forti/Desktop/2025 FALL/426 COSC/YOLO_TESTING/bbox-snapshots/frame05800_id17734.png", "frame05800_id17734.png")</f>
        <v/>
      </c>
    </row>
    <row r="1121">
      <c r="A1121" t="n">
        <v>5800</v>
      </c>
      <c r="B1121" t="n">
        <v>17831</v>
      </c>
      <c r="C1121" t="n">
        <v>39690</v>
      </c>
      <c r="D1121" t="n">
        <v>1</v>
      </c>
      <c r="E1121">
        <f>HYPERLINK("file:///C:/Users/anye forti/Desktop/2025 FALL/426 COSC/YOLO_TESTING/bbox-snapshots/frame05800_id17831.png", "frame05800_id17831.png")</f>
        <v/>
      </c>
    </row>
    <row r="1122">
      <c r="A1122" t="n">
        <v>5812</v>
      </c>
      <c r="B1122" t="n">
        <v>17769</v>
      </c>
      <c r="C1122" t="n">
        <v>74370</v>
      </c>
      <c r="D1122" t="n">
        <v>2</v>
      </c>
      <c r="E1122">
        <f>HYPERLINK("file:///C:/Users/anye forti/Desktop/2025 FALL/426 COSC/YOLO_TESTING/bbox-snapshots/frame05812_id17769.png", "frame05812_id17769.png")</f>
        <v/>
      </c>
    </row>
    <row r="1123">
      <c r="A1123" t="n">
        <v>5814</v>
      </c>
      <c r="B1123" t="n">
        <v>17803</v>
      </c>
      <c r="C1123" t="n">
        <v>49000</v>
      </c>
      <c r="D1123" t="n">
        <v>1</v>
      </c>
      <c r="E1123">
        <f>HYPERLINK("file:///C:/Users/anye forti/Desktop/2025 FALL/426 COSC/YOLO_TESTING/bbox-snapshots/frame05814_id17803.png", "frame05814_id17803.png")</f>
        <v/>
      </c>
    </row>
    <row r="1124">
      <c r="A1124" t="n">
        <v>5822</v>
      </c>
      <c r="B1124" t="n">
        <v>17790</v>
      </c>
      <c r="C1124" t="n">
        <v>42848</v>
      </c>
      <c r="D1124" t="n">
        <v>1</v>
      </c>
      <c r="E1124">
        <f>HYPERLINK("file:///C:/Users/anye forti/Desktop/2025 FALL/426 COSC/YOLO_TESTING/bbox-snapshots/frame05822_id17790.png", "frame05822_id17790.png")</f>
        <v/>
      </c>
    </row>
    <row r="1125">
      <c r="A1125" t="n">
        <v>5824</v>
      </c>
      <c r="B1125" t="n">
        <v>17862</v>
      </c>
      <c r="C1125" t="n">
        <v>35457</v>
      </c>
      <c r="D1125" t="n">
        <v>1</v>
      </c>
      <c r="E1125">
        <f>HYPERLINK("file:///C:/Users/anye forti/Desktop/2025 FALL/426 COSC/YOLO_TESTING/bbox-snapshots/frame05824_id17862.png", "frame05824_id17862.png")</f>
        <v/>
      </c>
    </row>
    <row r="1126">
      <c r="A1126" t="n">
        <v>5826</v>
      </c>
      <c r="B1126" t="n">
        <v>17838</v>
      </c>
      <c r="C1126" t="n">
        <v>80920</v>
      </c>
      <c r="D1126" t="n">
        <v>2</v>
      </c>
      <c r="E1126">
        <f>HYPERLINK("file:///C:/Users/anye forti/Desktop/2025 FALL/426 COSC/YOLO_TESTING/bbox-snapshots/frame05826_id17838.png", "frame05826_id17838.png")</f>
        <v/>
      </c>
    </row>
    <row r="1127">
      <c r="A1127" t="n">
        <v>5829</v>
      </c>
      <c r="B1127" t="n">
        <v>17915</v>
      </c>
      <c r="C1127" t="n">
        <v>8084</v>
      </c>
      <c r="D1127" t="n">
        <v>0</v>
      </c>
      <c r="E1127">
        <f>HYPERLINK("file:///C:/Users/anye forti/Desktop/2025 FALL/426 COSC/YOLO_TESTING/bbox-snapshots/frame05829_id17915.png", "frame05829_id17915.png")</f>
        <v/>
      </c>
    </row>
    <row r="1128">
      <c r="A1128" t="n">
        <v>5848</v>
      </c>
      <c r="B1128" t="n">
        <v>17904</v>
      </c>
      <c r="C1128" t="n">
        <v>41600</v>
      </c>
      <c r="D1128" t="n">
        <v>1</v>
      </c>
      <c r="E1128">
        <f>HYPERLINK("file:///C:/Users/anye forti/Desktop/2025 FALL/426 COSC/YOLO_TESTING/bbox-snapshots/frame05848_id17904.png", "frame05848_id17904.png")</f>
        <v/>
      </c>
    </row>
    <row r="1129">
      <c r="A1129" t="n">
        <v>5855</v>
      </c>
      <c r="B1129" t="n">
        <v>17962</v>
      </c>
      <c r="C1129" t="n">
        <v>45310</v>
      </c>
      <c r="D1129" t="n">
        <v>1</v>
      </c>
      <c r="E1129">
        <f>HYPERLINK("file:///C:/Users/anye forti/Desktop/2025 FALL/426 COSC/YOLO_TESTING/bbox-snapshots/frame05855_id17962.png", "frame05855_id17962.png")</f>
        <v/>
      </c>
    </row>
    <row r="1130">
      <c r="A1130" t="n">
        <v>5862</v>
      </c>
      <c r="B1130" t="n">
        <v>17959</v>
      </c>
      <c r="C1130" t="n">
        <v>32045</v>
      </c>
      <c r="D1130" t="n">
        <v>1</v>
      </c>
      <c r="E1130">
        <f>HYPERLINK("file:///C:/Users/anye forti/Desktop/2025 FALL/426 COSC/YOLO_TESTING/bbox-snapshots/frame05862_id17959.png", "frame05862_id17959.png")</f>
        <v/>
      </c>
    </row>
    <row r="1131">
      <c r="A1131" t="n">
        <v>5863</v>
      </c>
      <c r="B1131" t="n">
        <v>17979</v>
      </c>
      <c r="C1131" t="n">
        <v>35904</v>
      </c>
      <c r="D1131" t="n">
        <v>1</v>
      </c>
      <c r="E1131">
        <f>HYPERLINK("file:///C:/Users/anye forti/Desktop/2025 FALL/426 COSC/YOLO_TESTING/bbox-snapshots/frame05863_id17979.png", "frame05863_id17979.png")</f>
        <v/>
      </c>
    </row>
    <row r="1132">
      <c r="A1132" t="n">
        <v>5867</v>
      </c>
      <c r="B1132" t="n">
        <v>18003</v>
      </c>
      <c r="C1132" t="n">
        <v>42966</v>
      </c>
      <c r="D1132" t="n">
        <v>1</v>
      </c>
      <c r="E1132">
        <f>HYPERLINK("file:///C:/Users/anye forti/Desktop/2025 FALL/426 COSC/YOLO_TESTING/bbox-snapshots/frame05867_id18003.png", "frame05867_id18003.png")</f>
        <v/>
      </c>
    </row>
    <row r="1133">
      <c r="A1133" t="n">
        <v>5875</v>
      </c>
      <c r="B1133" t="n">
        <v>18006</v>
      </c>
      <c r="C1133" t="n">
        <v>44650</v>
      </c>
      <c r="D1133" t="n">
        <v>1</v>
      </c>
      <c r="E1133">
        <f>HYPERLINK("file:///C:/Users/anye forti/Desktop/2025 FALL/426 COSC/YOLO_TESTING/bbox-snapshots/frame05875_id18006.png", "frame05875_id18006.png")</f>
        <v/>
      </c>
    </row>
    <row r="1134">
      <c r="A1134" t="n">
        <v>5878</v>
      </c>
      <c r="B1134" t="n">
        <v>18037</v>
      </c>
      <c r="C1134" t="n">
        <v>38366</v>
      </c>
      <c r="D1134" t="n">
        <v>1</v>
      </c>
      <c r="E1134">
        <f>HYPERLINK("file:///C:/Users/anye forti/Desktop/2025 FALL/426 COSC/YOLO_TESTING/bbox-snapshots/frame05878_id18037.png", "frame05878_id18037.png")</f>
        <v/>
      </c>
    </row>
    <row r="1135">
      <c r="A1135" t="n">
        <v>5886</v>
      </c>
      <c r="B1135" t="n">
        <v>18054</v>
      </c>
      <c r="C1135" t="n">
        <v>37488</v>
      </c>
      <c r="D1135" t="n">
        <v>1</v>
      </c>
      <c r="E1135">
        <f>HYPERLINK("file:///C:/Users/anye forti/Desktop/2025 FALL/426 COSC/YOLO_TESTING/bbox-snapshots/frame05886_id18054.png", "frame05886_id18054.png")</f>
        <v/>
      </c>
    </row>
    <row r="1136">
      <c r="A1136" t="n">
        <v>5897</v>
      </c>
      <c r="B1136" t="n">
        <v>18069</v>
      </c>
      <c r="C1136" t="n">
        <v>68364</v>
      </c>
      <c r="D1136" t="n">
        <v>2</v>
      </c>
      <c r="E1136">
        <f>HYPERLINK("file:///C:/Users/anye forti/Desktop/2025 FALL/426 COSC/YOLO_TESTING/bbox-snapshots/frame05897_id18069.png", "frame05897_id18069.png")</f>
        <v/>
      </c>
    </row>
    <row r="1137">
      <c r="A1137" t="n">
        <v>5899</v>
      </c>
      <c r="B1137" t="n">
        <v>17868</v>
      </c>
      <c r="C1137" t="n">
        <v>49640</v>
      </c>
      <c r="D1137" t="n">
        <v>1</v>
      </c>
      <c r="E1137">
        <f>HYPERLINK("file:///C:/Users/anye forti/Desktop/2025 FALL/426 COSC/YOLO_TESTING/bbox-snapshots/frame05899_id17868.png", "frame05899_id17868.png")</f>
        <v/>
      </c>
    </row>
    <row r="1138">
      <c r="A1138" t="n">
        <v>5903</v>
      </c>
      <c r="B1138" t="n">
        <v>18090</v>
      </c>
      <c r="C1138" t="n">
        <v>49848</v>
      </c>
      <c r="D1138" t="n">
        <v>1</v>
      </c>
      <c r="E1138">
        <f>HYPERLINK("file:///C:/Users/anye forti/Desktop/2025 FALL/426 COSC/YOLO_TESTING/bbox-snapshots/frame05903_id18090.png", "frame05903_id18090.png")</f>
        <v/>
      </c>
    </row>
    <row r="1139">
      <c r="A1139" t="n">
        <v>5904</v>
      </c>
      <c r="B1139" t="n">
        <v>18149</v>
      </c>
      <c r="C1139" t="n">
        <v>15846</v>
      </c>
      <c r="D1139" t="n">
        <v>1</v>
      </c>
      <c r="E1139">
        <f>HYPERLINK("file:///C:/Users/anye forti/Desktop/2025 FALL/426 COSC/YOLO_TESTING/bbox-snapshots/frame05904_id18149.png", "frame05904_id18149.png")</f>
        <v/>
      </c>
    </row>
    <row r="1140">
      <c r="A1140" t="n">
        <v>5910</v>
      </c>
      <c r="B1140" t="n">
        <v>18112</v>
      </c>
      <c r="C1140" t="n">
        <v>27007</v>
      </c>
      <c r="D1140" t="n">
        <v>1</v>
      </c>
      <c r="E1140">
        <f>HYPERLINK("file:///C:/Users/anye forti/Desktop/2025 FALL/426 COSC/YOLO_TESTING/bbox-snapshots/frame05910_id18112.png", "frame05910_id18112.png")</f>
        <v/>
      </c>
    </row>
    <row r="1141">
      <c r="A1141" t="n">
        <v>5910</v>
      </c>
      <c r="B1141" t="n">
        <v>18121</v>
      </c>
      <c r="C1141" t="n">
        <v>59787</v>
      </c>
      <c r="D1141" t="n">
        <v>2</v>
      </c>
      <c r="E1141">
        <f>HYPERLINK("file:///C:/Users/anye forti/Desktop/2025 FALL/426 COSC/YOLO_TESTING/bbox-snapshots/frame05910_id18121.png", "frame05910_id18121.png")</f>
        <v/>
      </c>
    </row>
    <row r="1142">
      <c r="A1142" t="n">
        <v>5916</v>
      </c>
      <c r="B1142" t="n">
        <v>18151</v>
      </c>
      <c r="C1142" t="n">
        <v>52065</v>
      </c>
      <c r="D1142" t="n">
        <v>1</v>
      </c>
      <c r="E1142">
        <f>HYPERLINK("file:///C:/Users/anye forti/Desktop/2025 FALL/426 COSC/YOLO_TESTING/bbox-snapshots/frame05916_id18151.png", "frame05916_id18151.png")</f>
        <v/>
      </c>
    </row>
    <row r="1143">
      <c r="A1143" t="n">
        <v>5927</v>
      </c>
      <c r="B1143" t="n">
        <v>18162</v>
      </c>
      <c r="C1143" t="n">
        <v>38994</v>
      </c>
      <c r="D1143" t="n">
        <v>1</v>
      </c>
      <c r="E1143">
        <f>HYPERLINK("file:///C:/Users/anye forti/Desktop/2025 FALL/426 COSC/YOLO_TESTING/bbox-snapshots/frame05927_id18162.png", "frame05927_id18162.png")</f>
        <v/>
      </c>
    </row>
    <row r="1144">
      <c r="A1144" t="n">
        <v>5937</v>
      </c>
      <c r="B1144" t="n">
        <v>18181</v>
      </c>
      <c r="C1144" t="n">
        <v>25519</v>
      </c>
      <c r="D1144" t="n">
        <v>1</v>
      </c>
      <c r="E1144">
        <f>HYPERLINK("file:///C:/Users/anye forti/Desktop/2025 FALL/426 COSC/YOLO_TESTING/bbox-snapshots/frame05937_id18181.png", "frame05937_id18181.png")</f>
        <v/>
      </c>
    </row>
    <row r="1145">
      <c r="A1145" t="n">
        <v>5940</v>
      </c>
      <c r="B1145" t="n">
        <v>18187</v>
      </c>
      <c r="C1145" t="n">
        <v>49632</v>
      </c>
      <c r="D1145" t="n">
        <v>1</v>
      </c>
      <c r="E1145">
        <f>HYPERLINK("file:///C:/Users/anye forti/Desktop/2025 FALL/426 COSC/YOLO_TESTING/bbox-snapshots/frame05940_id18187.png", "frame05940_id18187.png")</f>
        <v/>
      </c>
    </row>
    <row r="1146">
      <c r="A1146" t="n">
        <v>5950</v>
      </c>
      <c r="B1146" t="n">
        <v>18211</v>
      </c>
      <c r="C1146" t="n">
        <v>31400</v>
      </c>
      <c r="D1146" t="n">
        <v>1</v>
      </c>
      <c r="E1146">
        <f>HYPERLINK("file:///C:/Users/anye forti/Desktop/2025 FALL/426 COSC/YOLO_TESTING/bbox-snapshots/frame05950_id18211.png", "frame05950_id18211.png")</f>
        <v/>
      </c>
    </row>
    <row r="1147">
      <c r="A1147" t="n">
        <v>5951</v>
      </c>
      <c r="B1147" t="n">
        <v>18190</v>
      </c>
      <c r="C1147" t="n">
        <v>54320</v>
      </c>
      <c r="D1147" t="n">
        <v>1</v>
      </c>
      <c r="E1147">
        <f>HYPERLINK("file:///C:/Users/anye forti/Desktop/2025 FALL/426 COSC/YOLO_TESTING/bbox-snapshots/frame05951_id18190.png", "frame05951_id18190.png")</f>
        <v/>
      </c>
    </row>
    <row r="1148">
      <c r="A1148" t="n">
        <v>5957</v>
      </c>
      <c r="B1148" t="n">
        <v>18226</v>
      </c>
      <c r="C1148" t="n">
        <v>42828</v>
      </c>
      <c r="D1148" t="n">
        <v>1</v>
      </c>
      <c r="E1148">
        <f>HYPERLINK("file:///C:/Users/anye forti/Desktop/2025 FALL/426 COSC/YOLO_TESTING/bbox-snapshots/frame05957_id18226.png", "frame05957_id18226.png")</f>
        <v/>
      </c>
    </row>
    <row r="1149">
      <c r="A1149" t="n">
        <v>5958</v>
      </c>
      <c r="B1149" t="n">
        <v>18233</v>
      </c>
      <c r="C1149" t="n">
        <v>33936</v>
      </c>
      <c r="D1149" t="n">
        <v>1</v>
      </c>
      <c r="E1149">
        <f>HYPERLINK("file:///C:/Users/anye forti/Desktop/2025 FALL/426 COSC/YOLO_TESTING/bbox-snapshots/frame05958_id18233.png", "frame05958_id18233.png")</f>
        <v/>
      </c>
    </row>
    <row r="1150">
      <c r="A1150" t="n">
        <v>5958</v>
      </c>
      <c r="B1150" t="n">
        <v>18217</v>
      </c>
      <c r="C1150" t="n">
        <v>55071</v>
      </c>
      <c r="D1150" t="n">
        <v>1</v>
      </c>
      <c r="E1150">
        <f>HYPERLINK("file:///C:/Users/anye forti/Desktop/2025 FALL/426 COSC/YOLO_TESTING/bbox-snapshots/frame05958_id18217.png", "frame05958_id18217.png")</f>
        <v/>
      </c>
    </row>
    <row r="1151">
      <c r="A1151" t="n">
        <v>5963</v>
      </c>
      <c r="B1151" t="n">
        <v>18275</v>
      </c>
      <c r="C1151" t="n">
        <v>34276</v>
      </c>
      <c r="D1151" t="n">
        <v>1</v>
      </c>
      <c r="E1151">
        <f>HYPERLINK("file:///C:/Users/anye forti/Desktop/2025 FALL/426 COSC/YOLO_TESTING/bbox-snapshots/frame05963_id18275.png", "frame05963_id18275.png")</f>
        <v/>
      </c>
    </row>
    <row r="1152">
      <c r="A1152" t="n">
        <v>5964</v>
      </c>
      <c r="B1152" t="n">
        <v>18245</v>
      </c>
      <c r="C1152" t="n">
        <v>55845</v>
      </c>
      <c r="D1152" t="n">
        <v>1</v>
      </c>
      <c r="E1152">
        <f>HYPERLINK("file:///C:/Users/anye forti/Desktop/2025 FALL/426 COSC/YOLO_TESTING/bbox-snapshots/frame05964_id18245.png", "frame05964_id18245.png")</f>
        <v/>
      </c>
    </row>
    <row r="1153">
      <c r="A1153" t="n">
        <v>5967</v>
      </c>
      <c r="B1153" t="n">
        <v>18325</v>
      </c>
      <c r="C1153" t="n">
        <v>33522</v>
      </c>
      <c r="D1153" t="n">
        <v>1</v>
      </c>
      <c r="E1153">
        <f>HYPERLINK("file:///C:/Users/anye forti/Desktop/2025 FALL/426 COSC/YOLO_TESTING/bbox-snapshots/frame05967_id18325.png", "frame05967_id18325.png")</f>
        <v/>
      </c>
    </row>
    <row r="1154">
      <c r="A1154" t="n">
        <v>5969</v>
      </c>
      <c r="B1154" t="n">
        <v>18243</v>
      </c>
      <c r="C1154" t="n">
        <v>44826</v>
      </c>
      <c r="D1154" t="n">
        <v>1</v>
      </c>
      <c r="E1154">
        <f>HYPERLINK("file:///C:/Users/anye forti/Desktop/2025 FALL/426 COSC/YOLO_TESTING/bbox-snapshots/frame05969_id18243.png", "frame05969_id18243.png")</f>
        <v/>
      </c>
    </row>
    <row r="1155">
      <c r="A1155" t="n">
        <v>5972</v>
      </c>
      <c r="B1155" t="n">
        <v>18279</v>
      </c>
      <c r="C1155" t="n">
        <v>16884</v>
      </c>
      <c r="D1155" t="n">
        <v>1</v>
      </c>
      <c r="E1155">
        <f>HYPERLINK("file:///C:/Users/anye forti/Desktop/2025 FALL/426 COSC/YOLO_TESTING/bbox-snapshots/frame05972_id18279.png", "frame05972_id18279.png")</f>
        <v/>
      </c>
    </row>
    <row r="1156">
      <c r="A1156" t="n">
        <v>5972</v>
      </c>
      <c r="B1156" t="n">
        <v>18309</v>
      </c>
      <c r="C1156" t="n">
        <v>39856</v>
      </c>
      <c r="D1156" t="n">
        <v>1</v>
      </c>
      <c r="E1156">
        <f>HYPERLINK("file:///C:/Users/anye forti/Desktop/2025 FALL/426 COSC/YOLO_TESTING/bbox-snapshots/frame05972_id18309.png", "frame05972_id18309.png")</f>
        <v/>
      </c>
    </row>
    <row r="1157">
      <c r="A1157" t="n">
        <v>5974</v>
      </c>
      <c r="B1157" t="n">
        <v>18394</v>
      </c>
      <c r="C1157" t="n">
        <v>16016</v>
      </c>
      <c r="D1157" t="n">
        <v>1</v>
      </c>
      <c r="E1157">
        <f>HYPERLINK("file:///C:/Users/anye forti/Desktop/2025 FALL/426 COSC/YOLO_TESTING/bbox-snapshots/frame05974_id18394.png", "frame05974_id18394.png")</f>
        <v/>
      </c>
    </row>
    <row r="1158">
      <c r="A1158" t="n">
        <v>5975</v>
      </c>
      <c r="B1158" t="n">
        <v>18285</v>
      </c>
      <c r="C1158" t="n">
        <v>28728</v>
      </c>
      <c r="D1158" t="n">
        <v>1</v>
      </c>
      <c r="E1158">
        <f>HYPERLINK("file:///C:/Users/anye forti/Desktop/2025 FALL/426 COSC/YOLO_TESTING/bbox-snapshots/frame05975_id18285.png", "frame05975_id18285.png")</f>
        <v/>
      </c>
    </row>
    <row r="1159">
      <c r="A1159" t="n">
        <v>5977</v>
      </c>
      <c r="B1159" t="n">
        <v>18314</v>
      </c>
      <c r="C1159" t="n">
        <v>36400</v>
      </c>
      <c r="D1159" t="n">
        <v>1</v>
      </c>
      <c r="E1159">
        <f>HYPERLINK("file:///C:/Users/anye forti/Desktop/2025 FALL/426 COSC/YOLO_TESTING/bbox-snapshots/frame05977_id18314.png", "frame05977_id18314.png")</f>
        <v/>
      </c>
    </row>
    <row r="1160">
      <c r="A1160" t="n">
        <v>5980</v>
      </c>
      <c r="B1160" t="n">
        <v>18311</v>
      </c>
      <c r="C1160" t="n">
        <v>48278</v>
      </c>
      <c r="D1160" t="n">
        <v>1</v>
      </c>
      <c r="E1160">
        <f>HYPERLINK("file:///C:/Users/anye forti/Desktop/2025 FALL/426 COSC/YOLO_TESTING/bbox-snapshots/frame05980_id18311.png", "frame05980_id18311.png")</f>
        <v/>
      </c>
    </row>
    <row r="1161">
      <c r="A1161" t="n">
        <v>5995</v>
      </c>
      <c r="B1161" t="n">
        <v>18399</v>
      </c>
      <c r="C1161" t="n">
        <v>63210</v>
      </c>
      <c r="D1161" t="n">
        <v>2</v>
      </c>
      <c r="E1161">
        <f>HYPERLINK("file:///C:/Users/anye forti/Desktop/2025 FALL/426 COSC/YOLO_TESTING/bbox-snapshots/frame05995_id18399.png", "frame05995_id18399.png")</f>
        <v/>
      </c>
    </row>
    <row r="1162">
      <c r="A1162" t="n">
        <v>6000</v>
      </c>
      <c r="B1162" t="n">
        <v>18428</v>
      </c>
      <c r="C1162" t="n">
        <v>37248</v>
      </c>
      <c r="D1162" t="n">
        <v>1</v>
      </c>
      <c r="E1162">
        <f>HYPERLINK("file:///C:/Users/anye forti/Desktop/2025 FALL/426 COSC/YOLO_TESTING/bbox-snapshots/frame06000_id18428.png", "frame06000_id18428.png")</f>
        <v/>
      </c>
    </row>
    <row r="1163">
      <c r="A1163" t="n">
        <v>6002</v>
      </c>
      <c r="B1163" t="n">
        <v>18409</v>
      </c>
      <c r="C1163" t="n">
        <v>24624</v>
      </c>
      <c r="D1163" t="n">
        <v>1</v>
      </c>
      <c r="E1163">
        <f>HYPERLINK("file:///C:/Users/anye forti/Desktop/2025 FALL/426 COSC/YOLO_TESTING/bbox-snapshots/frame06002_id18409.png", "frame06002_id18409.png")</f>
        <v/>
      </c>
    </row>
    <row r="1164">
      <c r="A1164" t="n">
        <v>6005</v>
      </c>
      <c r="B1164" t="n">
        <v>18367</v>
      </c>
      <c r="C1164" t="n">
        <v>55107</v>
      </c>
      <c r="D1164" t="n">
        <v>1</v>
      </c>
      <c r="E1164">
        <f>HYPERLINK("file:///C:/Users/anye forti/Desktop/2025 FALL/426 COSC/YOLO_TESTING/bbox-snapshots/frame06005_id18367.png", "frame06005_id18367.png")</f>
        <v/>
      </c>
    </row>
    <row r="1165">
      <c r="A1165" t="n">
        <v>6011</v>
      </c>
      <c r="B1165" t="n">
        <v>18477</v>
      </c>
      <c r="C1165" t="n">
        <v>47376</v>
      </c>
      <c r="D1165" t="n">
        <v>1</v>
      </c>
      <c r="E1165">
        <f>HYPERLINK("file:///C:/Users/anye forti/Desktop/2025 FALL/426 COSC/YOLO_TESTING/bbox-snapshots/frame06011_id18477.png", "frame06011_id18477.png")</f>
        <v/>
      </c>
    </row>
    <row r="1166">
      <c r="A1166" t="n">
        <v>6021</v>
      </c>
      <c r="B1166" t="n">
        <v>18521</v>
      </c>
      <c r="C1166" t="n">
        <v>43708</v>
      </c>
      <c r="D1166" t="n">
        <v>1</v>
      </c>
      <c r="E1166">
        <f>HYPERLINK("file:///C:/Users/anye forti/Desktop/2025 FALL/426 COSC/YOLO_TESTING/bbox-snapshots/frame06021_id18521.png", "frame06021_id18521.png")</f>
        <v/>
      </c>
    </row>
    <row r="1167">
      <c r="A1167" t="n">
        <v>6022</v>
      </c>
      <c r="B1167" t="n">
        <v>18516</v>
      </c>
      <c r="C1167" t="n">
        <v>65088</v>
      </c>
      <c r="D1167" t="n">
        <v>2</v>
      </c>
      <c r="E1167">
        <f>HYPERLINK("file:///C:/Users/anye forti/Desktop/2025 FALL/426 COSC/YOLO_TESTING/bbox-snapshots/frame06022_id18516.png", "frame06022_id18516.png")</f>
        <v/>
      </c>
    </row>
    <row r="1168">
      <c r="A1168" t="n">
        <v>6022</v>
      </c>
      <c r="B1168" t="n">
        <v>18522</v>
      </c>
      <c r="C1168" t="n">
        <v>44485</v>
      </c>
      <c r="D1168" t="n">
        <v>1</v>
      </c>
      <c r="E1168">
        <f>HYPERLINK("file:///C:/Users/anye forti/Desktop/2025 FALL/426 COSC/YOLO_TESTING/bbox-snapshots/frame06022_id18522.png", "frame06022_id18522.png")</f>
        <v/>
      </c>
    </row>
    <row r="1169">
      <c r="A1169" t="n">
        <v>6027</v>
      </c>
      <c r="B1169" t="n">
        <v>18604</v>
      </c>
      <c r="C1169" t="n">
        <v>17284</v>
      </c>
      <c r="D1169" t="n">
        <v>1</v>
      </c>
      <c r="E1169">
        <f>HYPERLINK("file:///C:/Users/anye forti/Desktop/2025 FALL/426 COSC/YOLO_TESTING/bbox-snapshots/frame06027_id18604.png", "frame06027_id18604.png")</f>
        <v/>
      </c>
    </row>
    <row r="1170">
      <c r="A1170" t="n">
        <v>6042</v>
      </c>
      <c r="B1170" t="n">
        <v>18578</v>
      </c>
      <c r="C1170" t="n">
        <v>54924</v>
      </c>
      <c r="D1170" t="n">
        <v>1</v>
      </c>
      <c r="E1170">
        <f>HYPERLINK("file:///C:/Users/anye forti/Desktop/2025 FALL/426 COSC/YOLO_TESTING/bbox-snapshots/frame06042_id18578.png", "frame06042_id18578.png")</f>
        <v/>
      </c>
    </row>
    <row r="1171">
      <c r="A1171" t="n">
        <v>6047</v>
      </c>
      <c r="B1171" t="n">
        <v>18589</v>
      </c>
      <c r="C1171" t="n">
        <v>71529</v>
      </c>
      <c r="D1171" t="n">
        <v>2</v>
      </c>
      <c r="E1171">
        <f>HYPERLINK("file:///C:/Users/anye forti/Desktop/2025 FALL/426 COSC/YOLO_TESTING/bbox-snapshots/frame06047_id18589.png", "frame06047_id18589.png")</f>
        <v/>
      </c>
    </row>
    <row r="1172">
      <c r="A1172" t="n">
        <v>6047</v>
      </c>
      <c r="B1172" t="n">
        <v>18599</v>
      </c>
      <c r="C1172" t="n">
        <v>43902</v>
      </c>
      <c r="D1172" t="n">
        <v>1</v>
      </c>
      <c r="E1172">
        <f>HYPERLINK("file:///C:/Users/anye forti/Desktop/2025 FALL/426 COSC/YOLO_TESTING/bbox-snapshots/frame06047_id18599.png", "frame06047_id18599.png")</f>
        <v/>
      </c>
    </row>
    <row r="1173">
      <c r="A1173" t="n">
        <v>6048</v>
      </c>
      <c r="B1173" t="n">
        <v>18623</v>
      </c>
      <c r="C1173" t="n">
        <v>49820</v>
      </c>
      <c r="D1173" t="n">
        <v>1</v>
      </c>
      <c r="E1173">
        <f>HYPERLINK("file:///C:/Users/anye forti/Desktop/2025 FALL/426 COSC/YOLO_TESTING/bbox-snapshots/frame06048_id18623.png", "frame06048_id18623.png")</f>
        <v/>
      </c>
    </row>
    <row r="1174">
      <c r="A1174" t="n">
        <v>6062</v>
      </c>
      <c r="B1174" t="n">
        <v>18650</v>
      </c>
      <c r="C1174" t="n">
        <v>58212</v>
      </c>
      <c r="D1174" t="n">
        <v>1</v>
      </c>
      <c r="E1174">
        <f>HYPERLINK("file:///C:/Users/anye forti/Desktop/2025 FALL/426 COSC/YOLO_TESTING/bbox-snapshots/frame06062_id18650.png", "frame06062_id18650.png")</f>
        <v/>
      </c>
    </row>
    <row r="1175">
      <c r="A1175" t="n">
        <v>6066</v>
      </c>
      <c r="B1175" t="n">
        <v>18660</v>
      </c>
      <c r="C1175" t="n">
        <v>37600</v>
      </c>
      <c r="D1175" t="n">
        <v>1</v>
      </c>
      <c r="E1175">
        <f>HYPERLINK("file:///C:/Users/anye forti/Desktop/2025 FALL/426 COSC/YOLO_TESTING/bbox-snapshots/frame06066_id18660.png", "frame06066_id18660.png")</f>
        <v/>
      </c>
    </row>
    <row r="1176">
      <c r="A1176" t="n">
        <v>6068</v>
      </c>
      <c r="B1176" t="n">
        <v>18624</v>
      </c>
      <c r="C1176" t="n">
        <v>37488</v>
      </c>
      <c r="D1176" t="n">
        <v>1</v>
      </c>
      <c r="E1176">
        <f>HYPERLINK("file:///C:/Users/anye forti/Desktop/2025 FALL/426 COSC/YOLO_TESTING/bbox-snapshots/frame06068_id18624.png", "frame06068_id18624.png")</f>
        <v/>
      </c>
    </row>
    <row r="1177">
      <c r="A1177" t="n">
        <v>6071</v>
      </c>
      <c r="B1177" t="n">
        <v>18705</v>
      </c>
      <c r="C1177" t="n">
        <v>34368</v>
      </c>
      <c r="D1177" t="n">
        <v>1</v>
      </c>
      <c r="E1177">
        <f>HYPERLINK("file:///C:/Users/anye forti/Desktop/2025 FALL/426 COSC/YOLO_TESTING/bbox-snapshots/frame06071_id18705.png", "frame06071_id18705.png")</f>
        <v/>
      </c>
    </row>
    <row r="1178">
      <c r="A1178" t="n">
        <v>6076</v>
      </c>
      <c r="B1178" t="n">
        <v>18708</v>
      </c>
      <c r="C1178" t="n">
        <v>56445</v>
      </c>
      <c r="D1178" t="n">
        <v>1</v>
      </c>
      <c r="E1178">
        <f>HYPERLINK("file:///C:/Users/anye forti/Desktop/2025 FALL/426 COSC/YOLO_TESTING/bbox-snapshots/frame06076_id18708.png", "frame06076_id18708.png")</f>
        <v/>
      </c>
    </row>
    <row r="1179">
      <c r="A1179" t="n">
        <v>6084</v>
      </c>
      <c r="B1179" t="n">
        <v>18728</v>
      </c>
      <c r="C1179" t="n">
        <v>55167</v>
      </c>
      <c r="D1179" t="n">
        <v>1</v>
      </c>
      <c r="E1179">
        <f>HYPERLINK("file:///C:/Users/anye forti/Desktop/2025 FALL/426 COSC/YOLO_TESTING/bbox-snapshots/frame06084_id18728.png", "frame06084_id18728.png")</f>
        <v/>
      </c>
    </row>
    <row r="1180">
      <c r="A1180" t="n">
        <v>6089</v>
      </c>
      <c r="B1180" t="n">
        <v>18745</v>
      </c>
      <c r="C1180" t="n">
        <v>30388</v>
      </c>
      <c r="D1180" t="n">
        <v>1</v>
      </c>
      <c r="E1180">
        <f>HYPERLINK("file:///C:/Users/anye forti/Desktop/2025 FALL/426 COSC/YOLO_TESTING/bbox-snapshots/frame06089_id18745.png", "frame06089_id18745.png")</f>
        <v/>
      </c>
    </row>
    <row r="1181">
      <c r="A1181" t="n">
        <v>6089</v>
      </c>
      <c r="B1181" t="n">
        <v>18771</v>
      </c>
      <c r="C1181" t="n">
        <v>60382</v>
      </c>
      <c r="D1181" t="n">
        <v>2</v>
      </c>
      <c r="E1181">
        <f>HYPERLINK("file:///C:/Users/anye forti/Desktop/2025 FALL/426 COSC/YOLO_TESTING/bbox-snapshots/frame06089_id18771.png", "frame06089_id18771.png")</f>
        <v/>
      </c>
    </row>
    <row r="1182">
      <c r="A1182" t="n">
        <v>6093</v>
      </c>
      <c r="B1182" t="n">
        <v>18770</v>
      </c>
      <c r="C1182" t="n">
        <v>38352</v>
      </c>
      <c r="D1182" t="n">
        <v>1</v>
      </c>
      <c r="E1182">
        <f>HYPERLINK("file:///C:/Users/anye forti/Desktop/2025 FALL/426 COSC/YOLO_TESTING/bbox-snapshots/frame06093_id18770.png", "frame06093_id18770.png")</f>
        <v/>
      </c>
    </row>
    <row r="1183">
      <c r="A1183" t="n">
        <v>6107</v>
      </c>
      <c r="B1183" t="n">
        <v>18791</v>
      </c>
      <c r="C1183" t="n">
        <v>44634</v>
      </c>
      <c r="D1183" t="n">
        <v>1</v>
      </c>
      <c r="E1183">
        <f>HYPERLINK("file:///C:/Users/anye forti/Desktop/2025 FALL/426 COSC/YOLO_TESTING/bbox-snapshots/frame06107_id18791.png", "frame06107_id18791.png")</f>
        <v/>
      </c>
    </row>
    <row r="1184">
      <c r="A1184" t="n">
        <v>6119</v>
      </c>
      <c r="B1184" t="n">
        <v>18839</v>
      </c>
      <c r="C1184" t="n">
        <v>47061</v>
      </c>
      <c r="D1184" t="n">
        <v>1</v>
      </c>
      <c r="E1184">
        <f>HYPERLINK("file:///C:/Users/anye forti/Desktop/2025 FALL/426 COSC/YOLO_TESTING/bbox-snapshots/frame06119_id18839.png", "frame06119_id18839.png")</f>
        <v/>
      </c>
    </row>
    <row r="1185">
      <c r="A1185" t="n">
        <v>6120</v>
      </c>
      <c r="B1185" t="n">
        <v>18838</v>
      </c>
      <c r="C1185" t="n">
        <v>45580</v>
      </c>
      <c r="D1185" t="n">
        <v>1</v>
      </c>
      <c r="E1185">
        <f>HYPERLINK("file:///C:/Users/anye forti/Desktop/2025 FALL/426 COSC/YOLO_TESTING/bbox-snapshots/frame06120_id18838.png", "frame06120_id18838.png")</f>
        <v/>
      </c>
    </row>
    <row r="1186">
      <c r="A1186" t="n">
        <v>6131</v>
      </c>
      <c r="B1186" t="n">
        <v>18906</v>
      </c>
      <c r="C1186" t="n">
        <v>38448</v>
      </c>
      <c r="D1186" t="n">
        <v>1</v>
      </c>
      <c r="E1186">
        <f>HYPERLINK("file:///C:/Users/anye forti/Desktop/2025 FALL/426 COSC/YOLO_TESTING/bbox-snapshots/frame06131_id18906.png", "frame06131_id18906.png")</f>
        <v/>
      </c>
    </row>
    <row r="1187">
      <c r="A1187" t="n">
        <v>6131</v>
      </c>
      <c r="B1187" t="n">
        <v>18815</v>
      </c>
      <c r="C1187" t="n">
        <v>55548</v>
      </c>
      <c r="D1187" t="n">
        <v>1</v>
      </c>
      <c r="E1187">
        <f>HYPERLINK("file:///C:/Users/anye forti/Desktop/2025 FALL/426 COSC/YOLO_TESTING/bbox-snapshots/frame06131_id18815.png", "frame06131_id18815.png")</f>
        <v/>
      </c>
    </row>
    <row r="1188">
      <c r="A1188" t="n">
        <v>6133</v>
      </c>
      <c r="B1188" t="n">
        <v>18898</v>
      </c>
      <c r="C1188" t="n">
        <v>45504</v>
      </c>
      <c r="D1188" t="n">
        <v>1</v>
      </c>
      <c r="E1188">
        <f>HYPERLINK("file:///C:/Users/anye forti/Desktop/2025 FALL/426 COSC/YOLO_TESTING/bbox-snapshots/frame06133_id18898.png", "frame06133_id18898.png")</f>
        <v/>
      </c>
    </row>
    <row r="1189">
      <c r="A1189" t="n">
        <v>6133</v>
      </c>
      <c r="B1189" t="n">
        <v>18882</v>
      </c>
      <c r="C1189" t="n">
        <v>44370</v>
      </c>
      <c r="D1189" t="n">
        <v>1</v>
      </c>
      <c r="E1189">
        <f>HYPERLINK("file:///C:/Users/anye forti/Desktop/2025 FALL/426 COSC/YOLO_TESTING/bbox-snapshots/frame06133_id18882.png", "frame06133_id18882.png")</f>
        <v/>
      </c>
    </row>
    <row r="1190">
      <c r="A1190" t="n">
        <v>6141</v>
      </c>
      <c r="B1190" t="n">
        <v>18940</v>
      </c>
      <c r="C1190" t="n">
        <v>62292</v>
      </c>
      <c r="D1190" t="n">
        <v>2</v>
      </c>
      <c r="E1190">
        <f>HYPERLINK("file:///C:/Users/anye forti/Desktop/2025 FALL/426 COSC/YOLO_TESTING/bbox-snapshots/frame06141_id18940.png", "frame06141_id18940.png")</f>
        <v/>
      </c>
    </row>
    <row r="1191">
      <c r="A1191" t="n">
        <v>6144</v>
      </c>
      <c r="B1191" t="n">
        <v>18908</v>
      </c>
      <c r="C1191" t="n">
        <v>43924</v>
      </c>
      <c r="D1191" t="n">
        <v>1</v>
      </c>
      <c r="E1191">
        <f>HYPERLINK("file:///C:/Users/anye forti/Desktop/2025 FALL/426 COSC/YOLO_TESTING/bbox-snapshots/frame06144_id18908.png", "frame06144_id18908.png")</f>
        <v/>
      </c>
    </row>
    <row r="1192">
      <c r="A1192" t="n">
        <v>6152</v>
      </c>
      <c r="B1192" t="n">
        <v>18962</v>
      </c>
      <c r="C1192" t="n">
        <v>51612</v>
      </c>
      <c r="D1192" t="n">
        <v>1</v>
      </c>
      <c r="E1192">
        <f>HYPERLINK("file:///C:/Users/anye forti/Desktop/2025 FALL/426 COSC/YOLO_TESTING/bbox-snapshots/frame06152_id18962.png", "frame06152_id18962.png")</f>
        <v/>
      </c>
    </row>
    <row r="1193">
      <c r="A1193" t="n">
        <v>6154</v>
      </c>
      <c r="B1193" t="n">
        <v>18942</v>
      </c>
      <c r="C1193" t="n">
        <v>49276</v>
      </c>
      <c r="D1193" t="n">
        <v>1</v>
      </c>
      <c r="E1193">
        <f>HYPERLINK("file:///C:/Users/anye forti/Desktop/2025 FALL/426 COSC/YOLO_TESTING/bbox-snapshots/frame06154_id18942.png", "frame06154_id18942.png")</f>
        <v/>
      </c>
    </row>
    <row r="1194">
      <c r="A1194" t="n">
        <v>6156</v>
      </c>
      <c r="B1194" t="n">
        <v>18971</v>
      </c>
      <c r="C1194" t="n">
        <v>55870</v>
      </c>
      <c r="D1194" t="n">
        <v>1</v>
      </c>
      <c r="E1194">
        <f>HYPERLINK("file:///C:/Users/anye forti/Desktop/2025 FALL/426 COSC/YOLO_TESTING/bbox-snapshots/frame06156_id18971.png", "frame06156_id18971.png")</f>
        <v/>
      </c>
    </row>
    <row r="1195">
      <c r="A1195" t="n">
        <v>6161</v>
      </c>
      <c r="B1195" t="n">
        <v>18985</v>
      </c>
      <c r="C1195" t="n">
        <v>54471</v>
      </c>
      <c r="D1195" t="n">
        <v>1</v>
      </c>
      <c r="E1195">
        <f>HYPERLINK("file:///C:/Users/anye forti/Desktop/2025 FALL/426 COSC/YOLO_TESTING/bbox-snapshots/frame06161_id18985.png", "frame06161_id18985.png")</f>
        <v/>
      </c>
    </row>
    <row r="1196">
      <c r="A1196" t="n">
        <v>6173</v>
      </c>
      <c r="B1196" t="n">
        <v>19014</v>
      </c>
      <c r="C1196" t="n">
        <v>46530</v>
      </c>
      <c r="D1196" t="n">
        <v>1</v>
      </c>
      <c r="E1196">
        <f>HYPERLINK("file:///C:/Users/anye forti/Desktop/2025 FALL/426 COSC/YOLO_TESTING/bbox-snapshots/frame06173_id19014.png", "frame06173_id19014.png")</f>
        <v/>
      </c>
    </row>
    <row r="1197">
      <c r="A1197" t="n">
        <v>6182</v>
      </c>
      <c r="B1197" t="n">
        <v>19034</v>
      </c>
      <c r="C1197" t="n">
        <v>46452</v>
      </c>
      <c r="D1197" t="n">
        <v>1</v>
      </c>
      <c r="E1197">
        <f>HYPERLINK("file:///C:/Users/anye forti/Desktop/2025 FALL/426 COSC/YOLO_TESTING/bbox-snapshots/frame06182_id19034.png", "frame06182_id19034.png")</f>
        <v/>
      </c>
    </row>
    <row r="1198">
      <c r="A1198" t="n">
        <v>6188</v>
      </c>
      <c r="B1198" t="n">
        <v>19061</v>
      </c>
      <c r="C1198" t="n">
        <v>32185</v>
      </c>
      <c r="D1198" t="n">
        <v>1</v>
      </c>
      <c r="E1198">
        <f>HYPERLINK("file:///C:/Users/anye forti/Desktop/2025 FALL/426 COSC/YOLO_TESTING/bbox-snapshots/frame06188_id19061.png", "frame06188_id19061.png")</f>
        <v/>
      </c>
    </row>
    <row r="1199">
      <c r="A1199" t="n">
        <v>6193</v>
      </c>
      <c r="B1199" t="n">
        <v>18941</v>
      </c>
      <c r="C1199" t="n">
        <v>51810</v>
      </c>
      <c r="D1199" t="n">
        <v>1</v>
      </c>
      <c r="E1199">
        <f>HYPERLINK("file:///C:/Users/anye forti/Desktop/2025 FALL/426 COSC/YOLO_TESTING/bbox-snapshots/frame06193_id18941.png", "frame06193_id18941.png")</f>
        <v/>
      </c>
    </row>
    <row r="1200">
      <c r="A1200" t="n">
        <v>6203</v>
      </c>
      <c r="B1200" t="n">
        <v>19085</v>
      </c>
      <c r="C1200" t="n">
        <v>14896</v>
      </c>
      <c r="D1200" t="n">
        <v>1</v>
      </c>
      <c r="E1200">
        <f>HYPERLINK("file:///C:/Users/anye forti/Desktop/2025 FALL/426 COSC/YOLO_TESTING/bbox-snapshots/frame06203_id19085.png", "frame06203_id19085.png")</f>
        <v/>
      </c>
    </row>
    <row r="1201">
      <c r="A1201" t="n">
        <v>6206</v>
      </c>
      <c r="B1201" t="n">
        <v>19099</v>
      </c>
      <c r="C1201" t="n">
        <v>52318</v>
      </c>
      <c r="D1201" t="n">
        <v>1</v>
      </c>
      <c r="E1201">
        <f>HYPERLINK("file:///C:/Users/anye forti/Desktop/2025 FALL/426 COSC/YOLO_TESTING/bbox-snapshots/frame06206_id19099.png", "frame06206_id19099.png")</f>
        <v/>
      </c>
    </row>
    <row r="1202">
      <c r="A1202" t="n">
        <v>6212</v>
      </c>
      <c r="B1202" t="n">
        <v>19107</v>
      </c>
      <c r="C1202" t="n">
        <v>56964</v>
      </c>
      <c r="D1202" t="n">
        <v>1</v>
      </c>
      <c r="E1202">
        <f>HYPERLINK("file:///C:/Users/anye forti/Desktop/2025 FALL/426 COSC/YOLO_TESTING/bbox-snapshots/frame06212_id19107.png", "frame06212_id19107.png")</f>
        <v/>
      </c>
    </row>
    <row r="1203">
      <c r="A1203" t="n">
        <v>6225</v>
      </c>
      <c r="B1203" t="n">
        <v>19144</v>
      </c>
      <c r="C1203" t="n">
        <v>50688</v>
      </c>
      <c r="D1203" t="n">
        <v>1</v>
      </c>
      <c r="E1203">
        <f>HYPERLINK("file:///C:/Users/anye forti/Desktop/2025 FALL/426 COSC/YOLO_TESTING/bbox-snapshots/frame06225_id19144.png", "frame06225_id19144.png")</f>
        <v/>
      </c>
    </row>
    <row r="1204">
      <c r="A1204" t="n">
        <v>6225</v>
      </c>
      <c r="B1204" t="n">
        <v>19154</v>
      </c>
      <c r="C1204" t="n">
        <v>54526</v>
      </c>
      <c r="D1204" t="n">
        <v>1</v>
      </c>
      <c r="E1204">
        <f>HYPERLINK("file:///C:/Users/anye forti/Desktop/2025 FALL/426 COSC/YOLO_TESTING/bbox-snapshots/frame06225_id19154.png", "frame06225_id19154.png")</f>
        <v/>
      </c>
    </row>
    <row r="1205">
      <c r="A1205" t="n">
        <v>6226</v>
      </c>
      <c r="B1205" t="n">
        <v>19161</v>
      </c>
      <c r="C1205" t="n">
        <v>39128</v>
      </c>
      <c r="D1205" t="n">
        <v>1</v>
      </c>
      <c r="E1205">
        <f>HYPERLINK("file:///C:/Users/anye forti/Desktop/2025 FALL/426 COSC/YOLO_TESTING/bbox-snapshots/frame06226_id19161.png", "frame06226_id19161.png")</f>
        <v/>
      </c>
    </row>
    <row r="1206">
      <c r="A1206" t="n">
        <v>6231</v>
      </c>
      <c r="B1206" t="n">
        <v>19174</v>
      </c>
      <c r="C1206" t="n">
        <v>48840</v>
      </c>
      <c r="D1206" t="n">
        <v>1</v>
      </c>
      <c r="E1206">
        <f>HYPERLINK("file:///C:/Users/anye forti/Desktop/2025 FALL/426 COSC/YOLO_TESTING/bbox-snapshots/frame06231_id19174.png", "frame06231_id19174.png")</f>
        <v/>
      </c>
    </row>
    <row r="1207">
      <c r="A1207" t="n">
        <v>6237</v>
      </c>
      <c r="B1207" t="n">
        <v>19197</v>
      </c>
      <c r="C1207" t="n">
        <v>19159</v>
      </c>
      <c r="D1207" t="n">
        <v>1</v>
      </c>
      <c r="E1207">
        <f>HYPERLINK("file:///C:/Users/anye forti/Desktop/2025 FALL/426 COSC/YOLO_TESTING/bbox-snapshots/frame06237_id19197.png", "frame06237_id19197.png")</f>
        <v/>
      </c>
    </row>
    <row r="1208">
      <c r="A1208" t="n">
        <v>6241</v>
      </c>
      <c r="B1208" t="n">
        <v>19220</v>
      </c>
      <c r="C1208" t="n">
        <v>52008</v>
      </c>
      <c r="D1208" t="n">
        <v>1</v>
      </c>
      <c r="E1208">
        <f>HYPERLINK("file:///C:/Users/anye forti/Desktop/2025 FALL/426 COSC/YOLO_TESTING/bbox-snapshots/frame06241_id19220.png", "frame06241_id19220.png")</f>
        <v/>
      </c>
    </row>
    <row r="1209">
      <c r="A1209" t="n">
        <v>6241</v>
      </c>
      <c r="B1209" t="n">
        <v>19287</v>
      </c>
      <c r="C1209" t="n">
        <v>59616</v>
      </c>
      <c r="D1209" t="n">
        <v>2</v>
      </c>
      <c r="E1209">
        <f>HYPERLINK("file:///C:/Users/anye forti/Desktop/2025 FALL/426 COSC/YOLO_TESTING/bbox-snapshots/frame06241_id19287.png", "frame06241_id19287.png")</f>
        <v/>
      </c>
    </row>
    <row r="1210">
      <c r="A1210" t="n">
        <v>6242</v>
      </c>
      <c r="B1210" t="n">
        <v>19151</v>
      </c>
      <c r="C1210" t="n">
        <v>48132</v>
      </c>
      <c r="D1210" t="n">
        <v>1</v>
      </c>
      <c r="E1210">
        <f>HYPERLINK("file:///C:/Users/anye forti/Desktop/2025 FALL/426 COSC/YOLO_TESTING/bbox-snapshots/frame06242_id19151.png", "frame06242_id19151.png")</f>
        <v/>
      </c>
    </row>
    <row r="1211">
      <c r="A1211" t="n">
        <v>6246</v>
      </c>
      <c r="B1211" t="n">
        <v>19312</v>
      </c>
      <c r="C1211" t="n">
        <v>17236</v>
      </c>
      <c r="D1211" t="n">
        <v>1</v>
      </c>
      <c r="E1211">
        <f>HYPERLINK("file:///C:/Users/anye forti/Desktop/2025 FALL/426 COSC/YOLO_TESTING/bbox-snapshots/frame06246_id19312.png", "frame06246_id19312.png")</f>
        <v/>
      </c>
    </row>
    <row r="1212">
      <c r="A1212" t="n">
        <v>6249</v>
      </c>
      <c r="B1212" t="n">
        <v>19254</v>
      </c>
      <c r="C1212" t="n">
        <v>14835</v>
      </c>
      <c r="D1212" t="n">
        <v>1</v>
      </c>
      <c r="E1212">
        <f>HYPERLINK("file:///C:/Users/anye forti/Desktop/2025 FALL/426 COSC/YOLO_TESTING/bbox-snapshots/frame06249_id19254.png", "frame06249_id19254.png")</f>
        <v/>
      </c>
    </row>
    <row r="1213">
      <c r="A1213" t="n">
        <v>6251</v>
      </c>
      <c r="B1213" t="n">
        <v>19327</v>
      </c>
      <c r="C1213" t="n">
        <v>42900</v>
      </c>
      <c r="D1213" t="n">
        <v>1</v>
      </c>
      <c r="E1213">
        <f>HYPERLINK("file:///C:/Users/anye forti/Desktop/2025 FALL/426 COSC/YOLO_TESTING/bbox-snapshots/frame06251_id19327.png", "frame06251_id19327.png")</f>
        <v/>
      </c>
    </row>
    <row r="1214">
      <c r="A1214" t="n">
        <v>6264</v>
      </c>
      <c r="B1214" t="n">
        <v>19311</v>
      </c>
      <c r="C1214" t="n">
        <v>59001</v>
      </c>
      <c r="D1214" t="n">
        <v>1</v>
      </c>
      <c r="E1214">
        <f>HYPERLINK("file:///C:/Users/anye forti/Desktop/2025 FALL/426 COSC/YOLO_TESTING/bbox-snapshots/frame06264_id19311.png", "frame06264_id19311.png")</f>
        <v/>
      </c>
    </row>
    <row r="1215">
      <c r="A1215" t="n">
        <v>6274</v>
      </c>
      <c r="B1215" t="n">
        <v>19129</v>
      </c>
      <c r="C1215" t="n">
        <v>48659</v>
      </c>
      <c r="D1215" t="n">
        <v>1</v>
      </c>
      <c r="E1215">
        <f>HYPERLINK("file:///C:/Users/anye forti/Desktop/2025 FALL/426 COSC/YOLO_TESTING/bbox-snapshots/frame06274_id19129.png", "frame06274_id19129.png")</f>
        <v/>
      </c>
    </row>
    <row r="1216">
      <c r="A1216" t="n">
        <v>6278</v>
      </c>
      <c r="B1216" t="n">
        <v>19361</v>
      </c>
      <c r="C1216" t="n">
        <v>44128</v>
      </c>
      <c r="D1216" t="n">
        <v>1</v>
      </c>
      <c r="E1216">
        <f>HYPERLINK("file:///C:/Users/anye forti/Desktop/2025 FALL/426 COSC/YOLO_TESTING/bbox-snapshots/frame06278_id19361.png", "frame06278_id19361.png")</f>
        <v/>
      </c>
    </row>
    <row r="1217">
      <c r="A1217" t="n">
        <v>6279</v>
      </c>
      <c r="B1217" t="n">
        <v>19373</v>
      </c>
      <c r="C1217" t="n">
        <v>21920</v>
      </c>
      <c r="D1217" t="n">
        <v>1</v>
      </c>
      <c r="E1217">
        <f>HYPERLINK("file:///C:/Users/anye forti/Desktop/2025 FALL/426 COSC/YOLO_TESTING/bbox-snapshots/frame06279_id19373.png", "frame06279_id19373.png")</f>
        <v/>
      </c>
    </row>
    <row r="1218">
      <c r="A1218" t="n">
        <v>6291</v>
      </c>
      <c r="B1218" t="n">
        <v>19424</v>
      </c>
      <c r="C1218" t="n">
        <v>47085</v>
      </c>
      <c r="D1218" t="n">
        <v>1</v>
      </c>
      <c r="E1218">
        <f>HYPERLINK("file:///C:/Users/anye forti/Desktop/2025 FALL/426 COSC/YOLO_TESTING/bbox-snapshots/frame06291_id19424.png", "frame06291_id19424.png")</f>
        <v/>
      </c>
    </row>
    <row r="1219">
      <c r="A1219" t="n">
        <v>6293</v>
      </c>
      <c r="B1219" t="n">
        <v>19413</v>
      </c>
      <c r="C1219" t="n">
        <v>27105</v>
      </c>
      <c r="D1219" t="n">
        <v>1</v>
      </c>
      <c r="E1219">
        <f>HYPERLINK("file:///C:/Users/anye forti/Desktop/2025 FALL/426 COSC/YOLO_TESTING/bbox-snapshots/frame06293_id19413.png", "frame06293_id19413.png")</f>
        <v/>
      </c>
    </row>
    <row r="1220">
      <c r="A1220" t="n">
        <v>6293</v>
      </c>
      <c r="B1220" t="n">
        <v>19420</v>
      </c>
      <c r="C1220" t="n">
        <v>48323</v>
      </c>
      <c r="D1220" t="n">
        <v>1</v>
      </c>
      <c r="E1220">
        <f>HYPERLINK("file:///C:/Users/anye forti/Desktop/2025 FALL/426 COSC/YOLO_TESTING/bbox-snapshots/frame06293_id19420.png", "frame06293_id19420.png")</f>
        <v/>
      </c>
    </row>
    <row r="1221">
      <c r="A1221" t="n">
        <v>6303</v>
      </c>
      <c r="B1221" t="n">
        <v>19450</v>
      </c>
      <c r="C1221" t="n">
        <v>42315</v>
      </c>
      <c r="D1221" t="n">
        <v>1</v>
      </c>
      <c r="E1221">
        <f>HYPERLINK("file:///C:/Users/anye forti/Desktop/2025 FALL/426 COSC/YOLO_TESTING/bbox-snapshots/frame06303_id19450.png", "frame06303_id19450.png")</f>
        <v/>
      </c>
    </row>
    <row r="1222">
      <c r="A1222" t="n">
        <v>6315</v>
      </c>
      <c r="B1222" t="n">
        <v>19414</v>
      </c>
      <c r="C1222" t="n">
        <v>41952</v>
      </c>
      <c r="D1222" t="n">
        <v>1</v>
      </c>
      <c r="E1222">
        <f>HYPERLINK("file:///C:/Users/anye forti/Desktop/2025 FALL/426 COSC/YOLO_TESTING/bbox-snapshots/frame06315_id19414.png", "frame06315_id19414.png")</f>
        <v/>
      </c>
    </row>
    <row r="1223">
      <c r="A1223" t="n">
        <v>6317</v>
      </c>
      <c r="B1223" t="n">
        <v>19478</v>
      </c>
      <c r="C1223" t="n">
        <v>62062</v>
      </c>
      <c r="D1223" t="n">
        <v>2</v>
      </c>
      <c r="E1223">
        <f>HYPERLINK("file:///C:/Users/anye forti/Desktop/2025 FALL/426 COSC/YOLO_TESTING/bbox-snapshots/frame06317_id19478.png", "frame06317_id19478.png")</f>
        <v/>
      </c>
    </row>
    <row r="1224">
      <c r="A1224" t="n">
        <v>6320</v>
      </c>
      <c r="B1224" t="n">
        <v>19494</v>
      </c>
      <c r="C1224" t="n">
        <v>44688</v>
      </c>
      <c r="D1224" t="n">
        <v>1</v>
      </c>
      <c r="E1224">
        <f>HYPERLINK("file:///C:/Users/anye forti/Desktop/2025 FALL/426 COSC/YOLO_TESTING/bbox-snapshots/frame06320_id19494.png", "frame06320_id19494.png")</f>
        <v/>
      </c>
    </row>
    <row r="1225">
      <c r="A1225" t="n">
        <v>6335</v>
      </c>
      <c r="B1225" t="n">
        <v>19526</v>
      </c>
      <c r="C1225" t="n">
        <v>74418</v>
      </c>
      <c r="D1225" t="n">
        <v>2</v>
      </c>
      <c r="E1225">
        <f>HYPERLINK("file:///C:/Users/anye forti/Desktop/2025 FALL/426 COSC/YOLO_TESTING/bbox-snapshots/frame06335_id19526.png", "frame06335_id19526.png")</f>
        <v/>
      </c>
    </row>
    <row r="1226">
      <c r="A1226" t="n">
        <v>6342</v>
      </c>
      <c r="B1226" t="n">
        <v>19553</v>
      </c>
      <c r="C1226" t="n">
        <v>10961</v>
      </c>
      <c r="D1226" t="n">
        <v>0</v>
      </c>
      <c r="E1226">
        <f>HYPERLINK("file:///C:/Users/anye forti/Desktop/2025 FALL/426 COSC/YOLO_TESTING/bbox-snapshots/frame06342_id19553.png", "frame06342_id19553.png")</f>
        <v/>
      </c>
    </row>
    <row r="1227">
      <c r="A1227" t="n">
        <v>6344</v>
      </c>
      <c r="B1227" t="n">
        <v>19462</v>
      </c>
      <c r="C1227" t="n">
        <v>52152</v>
      </c>
      <c r="D1227" t="n">
        <v>1</v>
      </c>
      <c r="E1227">
        <f>HYPERLINK("file:///C:/Users/anye forti/Desktop/2025 FALL/426 COSC/YOLO_TESTING/bbox-snapshots/frame06344_id19462.png", "frame06344_id19462.png")</f>
        <v/>
      </c>
    </row>
    <row r="1228">
      <c r="A1228" t="n">
        <v>6347</v>
      </c>
      <c r="B1228" t="n">
        <v>19554</v>
      </c>
      <c r="C1228" t="n">
        <v>23881</v>
      </c>
      <c r="D1228" t="n">
        <v>1</v>
      </c>
      <c r="E1228">
        <f>HYPERLINK("file:///C:/Users/anye forti/Desktop/2025 FALL/426 COSC/YOLO_TESTING/bbox-snapshots/frame06347_id19554.png", "frame06347_id19554.png")</f>
        <v/>
      </c>
    </row>
    <row r="1229">
      <c r="A1229" t="n">
        <v>6363</v>
      </c>
      <c r="B1229" t="n">
        <v>19578</v>
      </c>
      <c r="C1229" t="n">
        <v>41402</v>
      </c>
      <c r="D1229" t="n">
        <v>1</v>
      </c>
      <c r="E1229">
        <f>HYPERLINK("file:///C:/Users/anye forti/Desktop/2025 FALL/426 COSC/YOLO_TESTING/bbox-snapshots/frame06363_id19578.png", "frame06363_id19578.png")</f>
        <v/>
      </c>
    </row>
    <row r="1230">
      <c r="A1230" t="n">
        <v>6369</v>
      </c>
      <c r="B1230" t="n">
        <v>19592</v>
      </c>
      <c r="C1230" t="n">
        <v>42547</v>
      </c>
      <c r="D1230" t="n">
        <v>1</v>
      </c>
      <c r="E1230">
        <f>HYPERLINK("file:///C:/Users/anye forti/Desktop/2025 FALL/426 COSC/YOLO_TESTING/bbox-snapshots/frame06369_id19592.png", "frame06369_id19592.png")</f>
        <v/>
      </c>
    </row>
    <row r="1231">
      <c r="A1231" t="n">
        <v>6375</v>
      </c>
      <c r="B1231" t="n">
        <v>19571</v>
      </c>
      <c r="C1231" t="n">
        <v>59202</v>
      </c>
      <c r="D1231" t="n">
        <v>1</v>
      </c>
      <c r="E1231">
        <f>HYPERLINK("file:///C:/Users/anye forti/Desktop/2025 FALL/426 COSC/YOLO_TESTING/bbox-snapshots/frame06375_id19571.png", "frame06375_id19571.png")</f>
        <v/>
      </c>
    </row>
    <row r="1232">
      <c r="A1232" t="n">
        <v>6377</v>
      </c>
      <c r="B1232" t="n">
        <v>19613</v>
      </c>
      <c r="C1232" t="n">
        <v>56964</v>
      </c>
      <c r="D1232" t="n">
        <v>1</v>
      </c>
      <c r="E1232">
        <f>HYPERLINK("file:///C:/Users/anye forti/Desktop/2025 FALL/426 COSC/YOLO_TESTING/bbox-snapshots/frame06377_id19613.png", "frame06377_id19613.png")</f>
        <v/>
      </c>
    </row>
    <row r="1233">
      <c r="A1233" t="n">
        <v>6377</v>
      </c>
      <c r="B1233" t="n">
        <v>19626</v>
      </c>
      <c r="C1233" t="n">
        <v>22620</v>
      </c>
      <c r="D1233" t="n">
        <v>1</v>
      </c>
      <c r="E1233">
        <f>HYPERLINK("file:///C:/Users/anye forti/Desktop/2025 FALL/426 COSC/YOLO_TESTING/bbox-snapshots/frame06377_id19626.png", "frame06377_id19626.png")</f>
        <v/>
      </c>
    </row>
    <row r="1234">
      <c r="A1234" t="n">
        <v>6379</v>
      </c>
      <c r="B1234" t="n">
        <v>19615</v>
      </c>
      <c r="C1234" t="n">
        <v>53631</v>
      </c>
      <c r="D1234" t="n">
        <v>1</v>
      </c>
      <c r="E1234">
        <f>HYPERLINK("file:///C:/Users/anye forti/Desktop/2025 FALL/426 COSC/YOLO_TESTING/bbox-snapshots/frame06379_id19615.png", "frame06379_id19615.png")</f>
        <v/>
      </c>
    </row>
    <row r="1235">
      <c r="A1235" t="n">
        <v>6383</v>
      </c>
      <c r="B1235" t="n">
        <v>19645</v>
      </c>
      <c r="C1235" t="n">
        <v>44421</v>
      </c>
      <c r="D1235" t="n">
        <v>1</v>
      </c>
      <c r="E1235">
        <f>HYPERLINK("file:///C:/Users/anye forti/Desktop/2025 FALL/426 COSC/YOLO_TESTING/bbox-snapshots/frame06383_id19645.png", "frame06383_id19645.png")</f>
        <v/>
      </c>
    </row>
    <row r="1236">
      <c r="A1236" t="n">
        <v>6394</v>
      </c>
      <c r="B1236" t="n">
        <v>19718</v>
      </c>
      <c r="C1236" t="n">
        <v>34694</v>
      </c>
      <c r="D1236" t="n">
        <v>1</v>
      </c>
      <c r="E1236">
        <f>HYPERLINK("file:///C:/Users/anye forti/Desktop/2025 FALL/426 COSC/YOLO_TESTING/bbox-snapshots/frame06394_id19718.png", "frame06394_id19718.png")</f>
        <v/>
      </c>
    </row>
    <row r="1237">
      <c r="A1237" t="n">
        <v>6396</v>
      </c>
      <c r="B1237" t="n">
        <v>19677</v>
      </c>
      <c r="C1237" t="n">
        <v>42135</v>
      </c>
      <c r="D1237" t="n">
        <v>1</v>
      </c>
      <c r="E1237">
        <f>HYPERLINK("file:///C:/Users/anye forti/Desktop/2025 FALL/426 COSC/YOLO_TESTING/bbox-snapshots/frame06396_id19677.png", "frame06396_id19677.png")</f>
        <v/>
      </c>
    </row>
    <row r="1238">
      <c r="A1238" t="n">
        <v>6402</v>
      </c>
      <c r="B1238" t="n">
        <v>19689</v>
      </c>
      <c r="C1238" t="n">
        <v>69286</v>
      </c>
      <c r="D1238" t="n">
        <v>2</v>
      </c>
      <c r="E1238">
        <f>HYPERLINK("file:///C:/Users/anye forti/Desktop/2025 FALL/426 COSC/YOLO_TESTING/bbox-snapshots/frame06402_id19689.png", "frame06402_id19689.png")</f>
        <v/>
      </c>
    </row>
    <row r="1239">
      <c r="A1239" t="n">
        <v>6403</v>
      </c>
      <c r="B1239" t="n">
        <v>19521</v>
      </c>
      <c r="C1239" t="n">
        <v>28371</v>
      </c>
      <c r="D1239" t="n">
        <v>1</v>
      </c>
      <c r="E1239">
        <f>HYPERLINK("file:///C:/Users/anye forti/Desktop/2025 FALL/426 COSC/YOLO_TESTING/bbox-snapshots/frame06403_id19521.png", "frame06403_id19521.png")</f>
        <v/>
      </c>
    </row>
    <row r="1240">
      <c r="A1240" t="n">
        <v>6406</v>
      </c>
      <c r="B1240" t="n">
        <v>19720</v>
      </c>
      <c r="C1240" t="n">
        <v>83106</v>
      </c>
      <c r="D1240" t="n">
        <v>2</v>
      </c>
      <c r="E1240">
        <f>HYPERLINK("file:///C:/Users/anye forti/Desktop/2025 FALL/426 COSC/YOLO_TESTING/bbox-snapshots/frame06406_id19720.png", "frame06406_id19720.png")</f>
        <v/>
      </c>
    </row>
    <row r="1241">
      <c r="A1241" t="n">
        <v>6407</v>
      </c>
      <c r="B1241" t="n">
        <v>19754</v>
      </c>
      <c r="C1241" t="n">
        <v>32375</v>
      </c>
      <c r="D1241" t="n">
        <v>1</v>
      </c>
      <c r="E1241">
        <f>HYPERLINK("file:///C:/Users/anye forti/Desktop/2025 FALL/426 COSC/YOLO_TESTING/bbox-snapshots/frame06407_id19754.png", "frame06407_id19754.png")</f>
        <v/>
      </c>
    </row>
    <row r="1242">
      <c r="A1242" t="n">
        <v>6407</v>
      </c>
      <c r="B1242" t="n">
        <v>19844</v>
      </c>
      <c r="C1242" t="n">
        <v>11868</v>
      </c>
      <c r="D1242" t="n">
        <v>0</v>
      </c>
      <c r="E1242">
        <f>HYPERLINK("file:///C:/Users/anye forti/Desktop/2025 FALL/426 COSC/YOLO_TESTING/bbox-snapshots/frame06407_id19844.png", "frame06407_id19844.png")</f>
        <v/>
      </c>
    </row>
    <row r="1243">
      <c r="A1243" t="n">
        <v>6417</v>
      </c>
      <c r="B1243" t="n">
        <v>19849</v>
      </c>
      <c r="C1243" t="n">
        <v>33489</v>
      </c>
      <c r="D1243" t="n">
        <v>1</v>
      </c>
      <c r="E1243">
        <f>HYPERLINK("file:///C:/Users/anye forti/Desktop/2025 FALL/426 COSC/YOLO_TESTING/bbox-snapshots/frame06417_id19849.png", "frame06417_id19849.png")</f>
        <v/>
      </c>
    </row>
    <row r="1244">
      <c r="A1244" t="n">
        <v>6420</v>
      </c>
      <c r="B1244" t="n">
        <v>19823</v>
      </c>
      <c r="C1244" t="n">
        <v>28819</v>
      </c>
      <c r="D1244" t="n">
        <v>1</v>
      </c>
      <c r="E1244">
        <f>HYPERLINK("file:///C:/Users/anye forti/Desktop/2025 FALL/426 COSC/YOLO_TESTING/bbox-snapshots/frame06420_id19823.png", "frame06420_id19823.png")</f>
        <v/>
      </c>
    </row>
    <row r="1245">
      <c r="A1245" t="n">
        <v>6424</v>
      </c>
      <c r="B1245" t="n">
        <v>19661</v>
      </c>
      <c r="C1245" t="n">
        <v>53284</v>
      </c>
      <c r="D1245" t="n">
        <v>1</v>
      </c>
      <c r="E1245">
        <f>HYPERLINK("file:///C:/Users/anye forti/Desktop/2025 FALL/426 COSC/YOLO_TESTING/bbox-snapshots/frame06424_id19661.png", "frame06424_id19661.png")</f>
        <v/>
      </c>
    </row>
    <row r="1246">
      <c r="A1246" t="n">
        <v>6434</v>
      </c>
      <c r="B1246" t="n">
        <v>19859</v>
      </c>
      <c r="C1246" t="n">
        <v>36360</v>
      </c>
      <c r="D1246" t="n">
        <v>1</v>
      </c>
      <c r="E1246">
        <f>HYPERLINK("file:///C:/Users/anye forti/Desktop/2025 FALL/426 COSC/YOLO_TESTING/bbox-snapshots/frame06434_id19859.png", "frame06434_id19859.png")</f>
        <v/>
      </c>
    </row>
    <row r="1247">
      <c r="A1247" t="n">
        <v>6445</v>
      </c>
      <c r="B1247" t="n">
        <v>19890</v>
      </c>
      <c r="C1247" t="n">
        <v>45741</v>
      </c>
      <c r="D1247" t="n">
        <v>1</v>
      </c>
      <c r="E1247">
        <f>HYPERLINK("file:///C:/Users/anye forti/Desktop/2025 FALL/426 COSC/YOLO_TESTING/bbox-snapshots/frame06445_id19890.png", "frame06445_id19890.png")</f>
        <v/>
      </c>
    </row>
    <row r="1248">
      <c r="A1248" t="n">
        <v>6445</v>
      </c>
      <c r="B1248" t="n">
        <v>19950</v>
      </c>
      <c r="C1248" t="n">
        <v>49729</v>
      </c>
      <c r="D1248" t="n">
        <v>1</v>
      </c>
      <c r="E1248">
        <f>HYPERLINK("file:///C:/Users/anye forti/Desktop/2025 FALL/426 COSC/YOLO_TESTING/bbox-snapshots/frame06445_id19950.png", "frame06445_id19950.png")</f>
        <v/>
      </c>
    </row>
    <row r="1249">
      <c r="A1249" t="n">
        <v>6457</v>
      </c>
      <c r="B1249" t="n">
        <v>20003</v>
      </c>
      <c r="C1249" t="n">
        <v>65208</v>
      </c>
      <c r="D1249" t="n">
        <v>2</v>
      </c>
      <c r="E1249">
        <f>HYPERLINK("file:///C:/Users/anye forti/Desktop/2025 FALL/426 COSC/YOLO_TESTING/bbox-snapshots/frame06457_id20003.png", "frame06457_id20003.png")</f>
        <v/>
      </c>
    </row>
    <row r="1250">
      <c r="A1250" t="n">
        <v>6457</v>
      </c>
      <c r="B1250" t="n">
        <v>20028</v>
      </c>
      <c r="C1250" t="n">
        <v>44034</v>
      </c>
      <c r="D1250" t="n">
        <v>1</v>
      </c>
      <c r="E1250">
        <f>HYPERLINK("file:///C:/Users/anye forti/Desktop/2025 FALL/426 COSC/YOLO_TESTING/bbox-snapshots/frame06457_id20028.png", "frame06457_id20028.png")</f>
        <v/>
      </c>
    </row>
    <row r="1251">
      <c r="A1251" t="n">
        <v>6458</v>
      </c>
      <c r="B1251" t="n">
        <v>19996</v>
      </c>
      <c r="C1251" t="n">
        <v>43132</v>
      </c>
      <c r="D1251" t="n">
        <v>1</v>
      </c>
      <c r="E1251">
        <f>HYPERLINK("file:///C:/Users/anye forti/Desktop/2025 FALL/426 COSC/YOLO_TESTING/bbox-snapshots/frame06458_id19996.png", "frame06458_id19996.png")</f>
        <v/>
      </c>
    </row>
    <row r="1252">
      <c r="A1252" t="n">
        <v>6459</v>
      </c>
      <c r="B1252" t="n">
        <v>20013</v>
      </c>
      <c r="C1252" t="n">
        <v>43016</v>
      </c>
      <c r="D1252" t="n">
        <v>1</v>
      </c>
      <c r="E1252">
        <f>HYPERLINK("file:///C:/Users/anye forti/Desktop/2025 FALL/426 COSC/YOLO_TESTING/bbox-snapshots/frame06459_id20013.png", "frame06459_id20013.png")</f>
        <v/>
      </c>
    </row>
    <row r="1253">
      <c r="A1253" t="n">
        <v>6459</v>
      </c>
      <c r="B1253" t="n">
        <v>20023</v>
      </c>
      <c r="C1253" t="n">
        <v>23625</v>
      </c>
      <c r="D1253" t="n">
        <v>1</v>
      </c>
      <c r="E1253">
        <f>HYPERLINK("file:///C:/Users/anye forti/Desktop/2025 FALL/426 COSC/YOLO_TESTING/bbox-snapshots/frame06459_id20023.png", "frame06459_id20023.png")</f>
        <v/>
      </c>
    </row>
    <row r="1254">
      <c r="A1254" t="n">
        <v>6464</v>
      </c>
      <c r="B1254" t="n">
        <v>20096</v>
      </c>
      <c r="C1254" t="n">
        <v>17760</v>
      </c>
      <c r="D1254" t="n">
        <v>1</v>
      </c>
      <c r="E1254">
        <f>HYPERLINK("file:///C:/Users/anye forti/Desktop/2025 FALL/426 COSC/YOLO_TESTING/bbox-snapshots/frame06464_id20096.png", "frame06464_id20096.png")</f>
        <v/>
      </c>
    </row>
    <row r="1255">
      <c r="A1255" t="n">
        <v>6469</v>
      </c>
      <c r="B1255" t="n">
        <v>20069</v>
      </c>
      <c r="C1255" t="n">
        <v>25200</v>
      </c>
      <c r="D1255" t="n">
        <v>1</v>
      </c>
      <c r="E1255">
        <f>HYPERLINK("file:///C:/Users/anye forti/Desktop/2025 FALL/426 COSC/YOLO_TESTING/bbox-snapshots/frame06469_id20069.png", "frame06469_id20069.png")</f>
        <v/>
      </c>
    </row>
    <row r="1256">
      <c r="A1256" t="n">
        <v>6471</v>
      </c>
      <c r="B1256" t="n">
        <v>20108</v>
      </c>
      <c r="C1256" t="n">
        <v>36848</v>
      </c>
      <c r="D1256" t="n">
        <v>1</v>
      </c>
      <c r="E1256">
        <f>HYPERLINK("file:///C:/Users/anye forti/Desktop/2025 FALL/426 COSC/YOLO_TESTING/bbox-snapshots/frame06471_id20108.png", "frame06471_id20108.png")</f>
        <v/>
      </c>
    </row>
    <row r="1257">
      <c r="A1257" t="n">
        <v>6473</v>
      </c>
      <c r="B1257" t="n">
        <v>20041</v>
      </c>
      <c r="C1257" t="n">
        <v>59312</v>
      </c>
      <c r="D1257" t="n">
        <v>1</v>
      </c>
      <c r="E1257">
        <f>HYPERLINK("file:///C:/Users/anye forti/Desktop/2025 FALL/426 COSC/YOLO_TESTING/bbox-snapshots/frame06473_id20041.png", "frame06473_id20041.png")</f>
        <v/>
      </c>
    </row>
    <row r="1258">
      <c r="A1258" t="n">
        <v>6474</v>
      </c>
      <c r="B1258" t="n">
        <v>20064</v>
      </c>
      <c r="C1258" t="n">
        <v>48400</v>
      </c>
      <c r="D1258" t="n">
        <v>1</v>
      </c>
      <c r="E1258">
        <f>HYPERLINK("file:///C:/Users/anye forti/Desktop/2025 FALL/426 COSC/YOLO_TESTING/bbox-snapshots/frame06474_id20064.png", "frame06474_id20064.png")</f>
        <v/>
      </c>
    </row>
    <row r="1259">
      <c r="A1259" t="n">
        <v>6480</v>
      </c>
      <c r="B1259" t="n">
        <v>20072</v>
      </c>
      <c r="C1259" t="n">
        <v>53490</v>
      </c>
      <c r="D1259" t="n">
        <v>1</v>
      </c>
      <c r="E1259">
        <f>HYPERLINK("file:///C:/Users/anye forti/Desktop/2025 FALL/426 COSC/YOLO_TESTING/bbox-snapshots/frame06480_id20072.png", "frame06480_id20072.png")</f>
        <v/>
      </c>
    </row>
    <row r="1260">
      <c r="A1260" t="n">
        <v>6486</v>
      </c>
      <c r="B1260" t="n">
        <v>20095</v>
      </c>
      <c r="C1260" t="n">
        <v>44073</v>
      </c>
      <c r="D1260" t="n">
        <v>1</v>
      </c>
      <c r="E1260">
        <f>HYPERLINK("file:///C:/Users/anye forti/Desktop/2025 FALL/426 COSC/YOLO_TESTING/bbox-snapshots/frame06486_id20095.png", "frame06486_id20095.png")</f>
        <v/>
      </c>
    </row>
    <row r="1261">
      <c r="A1261" t="n">
        <v>6486</v>
      </c>
      <c r="B1261" t="n">
        <v>20102</v>
      </c>
      <c r="C1261" t="n">
        <v>38064</v>
      </c>
      <c r="D1261" t="n">
        <v>1</v>
      </c>
      <c r="E1261">
        <f>HYPERLINK("file:///C:/Users/anye forti/Desktop/2025 FALL/426 COSC/YOLO_TESTING/bbox-snapshots/frame06486_id20102.png", "frame06486_id20102.png")</f>
        <v/>
      </c>
    </row>
    <row r="1262">
      <c r="A1262" t="n">
        <v>6487</v>
      </c>
      <c r="B1262" t="n">
        <v>20132</v>
      </c>
      <c r="C1262" t="n">
        <v>35956</v>
      </c>
      <c r="D1262" t="n">
        <v>1</v>
      </c>
      <c r="E1262">
        <f>HYPERLINK("file:///C:/Users/anye forti/Desktop/2025 FALL/426 COSC/YOLO_TESTING/bbox-snapshots/frame06487_id20132.png", "frame06487_id20132.png")</f>
        <v/>
      </c>
    </row>
    <row r="1263">
      <c r="A1263" t="n">
        <v>6492</v>
      </c>
      <c r="B1263" t="n">
        <v>20190</v>
      </c>
      <c r="C1263" t="n">
        <v>31296</v>
      </c>
      <c r="D1263" t="n">
        <v>1</v>
      </c>
      <c r="E1263">
        <f>HYPERLINK("file:///C:/Users/anye forti/Desktop/2025 FALL/426 COSC/YOLO_TESTING/bbox-snapshots/frame06492_id20190.png", "frame06492_id20190.png")</f>
        <v/>
      </c>
    </row>
    <row r="1264">
      <c r="A1264" t="n">
        <v>6500</v>
      </c>
      <c r="B1264" t="n">
        <v>20111</v>
      </c>
      <c r="C1264" t="n">
        <v>59279</v>
      </c>
      <c r="D1264" t="n">
        <v>1</v>
      </c>
      <c r="E1264">
        <f>HYPERLINK("file:///C:/Users/anye forti/Desktop/2025 FALL/426 COSC/YOLO_TESTING/bbox-snapshots/frame06500_id20111.png", "frame06500_id20111.png")</f>
        <v/>
      </c>
    </row>
    <row r="1265">
      <c r="A1265" t="n">
        <v>6502</v>
      </c>
      <c r="B1265" t="n">
        <v>20193</v>
      </c>
      <c r="C1265" t="n">
        <v>38862</v>
      </c>
      <c r="D1265" t="n">
        <v>1</v>
      </c>
      <c r="E1265">
        <f>HYPERLINK("file:///C:/Users/anye forti/Desktop/2025 FALL/426 COSC/YOLO_TESTING/bbox-snapshots/frame06502_id20193.png", "frame06502_id20193.png")</f>
        <v/>
      </c>
    </row>
    <row r="1266">
      <c r="A1266" t="n">
        <v>6505</v>
      </c>
      <c r="B1266" t="n">
        <v>20237</v>
      </c>
      <c r="C1266" t="n">
        <v>55372</v>
      </c>
      <c r="D1266" t="n">
        <v>1</v>
      </c>
      <c r="E1266">
        <f>HYPERLINK("file:///C:/Users/anye forti/Desktop/2025 FALL/426 COSC/YOLO_TESTING/bbox-snapshots/frame06505_id20237.png", "frame06505_id20237.png")</f>
        <v/>
      </c>
    </row>
    <row r="1267">
      <c r="A1267" t="n">
        <v>6506</v>
      </c>
      <c r="B1267" t="n">
        <v>20209</v>
      </c>
      <c r="C1267" t="n">
        <v>40977</v>
      </c>
      <c r="D1267" t="n">
        <v>1</v>
      </c>
      <c r="E1267">
        <f>HYPERLINK("file:///C:/Users/anye forti/Desktop/2025 FALL/426 COSC/YOLO_TESTING/bbox-snapshots/frame06506_id20209.png", "frame06506_id20209.png")</f>
        <v/>
      </c>
    </row>
    <row r="1268">
      <c r="A1268" t="n">
        <v>6506</v>
      </c>
      <c r="B1268" t="n">
        <v>20286</v>
      </c>
      <c r="C1268" t="n">
        <v>11752</v>
      </c>
      <c r="D1268" t="n">
        <v>0</v>
      </c>
      <c r="E1268">
        <f>HYPERLINK("file:///C:/Users/anye forti/Desktop/2025 FALL/426 COSC/YOLO_TESTING/bbox-snapshots/frame06506_id20286.png", "frame06506_id20286.png")</f>
        <v/>
      </c>
    </row>
    <row r="1269">
      <c r="A1269" t="n">
        <v>6513</v>
      </c>
      <c r="B1269" t="n">
        <v>20272</v>
      </c>
      <c r="C1269" t="n">
        <v>50400</v>
      </c>
      <c r="D1269" t="n">
        <v>1</v>
      </c>
      <c r="E1269">
        <f>HYPERLINK("file:///C:/Users/anye forti/Desktop/2025 FALL/426 COSC/YOLO_TESTING/bbox-snapshots/frame06513_id20272.png", "frame06513_id20272.png")</f>
        <v/>
      </c>
    </row>
    <row r="1270">
      <c r="A1270" t="n">
        <v>6515</v>
      </c>
      <c r="B1270" t="n">
        <v>20262</v>
      </c>
      <c r="C1270" t="n">
        <v>18894</v>
      </c>
      <c r="D1270" t="n">
        <v>1</v>
      </c>
      <c r="E1270">
        <f>HYPERLINK("file:///C:/Users/anye forti/Desktop/2025 FALL/426 COSC/YOLO_TESTING/bbox-snapshots/frame06515_id20262.png", "frame06515_id20262.png")</f>
        <v/>
      </c>
    </row>
    <row r="1271">
      <c r="A1271" t="n">
        <v>6524</v>
      </c>
      <c r="B1271" t="n">
        <v>20302</v>
      </c>
      <c r="C1271" t="n">
        <v>40018</v>
      </c>
      <c r="D1271" t="n">
        <v>1</v>
      </c>
      <c r="E1271">
        <f>HYPERLINK("file:///C:/Users/anye forti/Desktop/2025 FALL/426 COSC/YOLO_TESTING/bbox-snapshots/frame06524_id20302.png", "frame06524_id20302.png")</f>
        <v/>
      </c>
    </row>
    <row r="1272">
      <c r="A1272" t="n">
        <v>6524</v>
      </c>
      <c r="B1272" t="n">
        <v>20338</v>
      </c>
      <c r="C1272" t="n">
        <v>55803</v>
      </c>
      <c r="D1272" t="n">
        <v>1</v>
      </c>
      <c r="E1272">
        <f>HYPERLINK("file:///C:/Users/anye forti/Desktop/2025 FALL/426 COSC/YOLO_TESTING/bbox-snapshots/frame06524_id20338.png", "frame06524_id20338.png")</f>
        <v/>
      </c>
    </row>
    <row r="1273">
      <c r="A1273" t="n">
        <v>6532</v>
      </c>
      <c r="B1273" t="n">
        <v>20336</v>
      </c>
      <c r="C1273" t="n">
        <v>35186</v>
      </c>
      <c r="D1273" t="n">
        <v>1</v>
      </c>
      <c r="E1273">
        <f>HYPERLINK("file:///C:/Users/anye forti/Desktop/2025 FALL/426 COSC/YOLO_TESTING/bbox-snapshots/frame06532_id20336.png", "frame06532_id20336.png")</f>
        <v/>
      </c>
    </row>
    <row r="1274">
      <c r="A1274" t="n">
        <v>6532</v>
      </c>
      <c r="B1274" t="n">
        <v>20352</v>
      </c>
      <c r="C1274" t="n">
        <v>33840</v>
      </c>
      <c r="D1274" t="n">
        <v>1</v>
      </c>
      <c r="E1274">
        <f>HYPERLINK("file:///C:/Users/anye forti/Desktop/2025 FALL/426 COSC/YOLO_TESTING/bbox-snapshots/frame06532_id20352.png", "frame06532_id20352.png")</f>
        <v/>
      </c>
    </row>
    <row r="1275">
      <c r="A1275" t="n">
        <v>6532</v>
      </c>
      <c r="B1275" t="n">
        <v>20346</v>
      </c>
      <c r="C1275" t="n">
        <v>51518</v>
      </c>
      <c r="D1275" t="n">
        <v>1</v>
      </c>
      <c r="E1275">
        <f>HYPERLINK("file:///C:/Users/anye forti/Desktop/2025 FALL/426 COSC/YOLO_TESTING/bbox-snapshots/frame06532_id20346.png", "frame06532_id20346.png")</f>
        <v/>
      </c>
    </row>
    <row r="1276">
      <c r="A1276" t="n">
        <v>6538</v>
      </c>
      <c r="B1276" t="n">
        <v>20370</v>
      </c>
      <c r="C1276" t="n">
        <v>34875</v>
      </c>
      <c r="D1276" t="n">
        <v>1</v>
      </c>
      <c r="E1276">
        <f>HYPERLINK("file:///C:/Users/anye forti/Desktop/2025 FALL/426 COSC/YOLO_TESTING/bbox-snapshots/frame06538_id20370.png", "frame06538_id20370.png")</f>
        <v/>
      </c>
    </row>
    <row r="1277">
      <c r="A1277" t="n">
        <v>6538</v>
      </c>
      <c r="B1277" t="n">
        <v>20199</v>
      </c>
      <c r="C1277" t="n">
        <v>31980</v>
      </c>
      <c r="D1277" t="n">
        <v>1</v>
      </c>
      <c r="E1277">
        <f>HYPERLINK("file:///C:/Users/anye forti/Desktop/2025 FALL/426 COSC/YOLO_TESTING/bbox-snapshots/frame06538_id20199.png", "frame06538_id20199.png")</f>
        <v/>
      </c>
    </row>
    <row r="1278">
      <c r="A1278" t="n">
        <v>6540</v>
      </c>
      <c r="B1278" t="n">
        <v>20269</v>
      </c>
      <c r="C1278" t="n">
        <v>30753</v>
      </c>
      <c r="D1278" t="n">
        <v>1</v>
      </c>
      <c r="E1278">
        <f>HYPERLINK("file:///C:/Users/anye forti/Desktop/2025 FALL/426 COSC/YOLO_TESTING/bbox-snapshots/frame06540_id20269.png", "frame06540_id20269.png")</f>
        <v/>
      </c>
    </row>
    <row r="1279">
      <c r="A1279" t="n">
        <v>6545</v>
      </c>
      <c r="B1279" t="n">
        <v>20414</v>
      </c>
      <c r="C1279" t="n">
        <v>33453</v>
      </c>
      <c r="D1279" t="n">
        <v>1</v>
      </c>
      <c r="E1279">
        <f>HYPERLINK("file:///C:/Users/anye forti/Desktop/2025 FALL/426 COSC/YOLO_TESTING/bbox-snapshots/frame06545_id20414.png", "frame06545_id20414.png")</f>
        <v/>
      </c>
    </row>
    <row r="1280">
      <c r="A1280" t="n">
        <v>6549</v>
      </c>
      <c r="B1280" t="n">
        <v>20443</v>
      </c>
      <c r="C1280" t="n">
        <v>29232</v>
      </c>
      <c r="D1280" t="n">
        <v>1</v>
      </c>
      <c r="E1280">
        <f>HYPERLINK("file:///C:/Users/anye forti/Desktop/2025 FALL/426 COSC/YOLO_TESTING/bbox-snapshots/frame06549_id20443.png", "frame06549_id20443.png")</f>
        <v/>
      </c>
    </row>
    <row r="1281">
      <c r="A1281" t="n">
        <v>6552</v>
      </c>
      <c r="B1281" t="n">
        <v>20323</v>
      </c>
      <c r="C1281" t="n">
        <v>59280</v>
      </c>
      <c r="D1281" t="n">
        <v>1</v>
      </c>
      <c r="E1281">
        <f>HYPERLINK("file:///C:/Users/anye forti/Desktop/2025 FALL/426 COSC/YOLO_TESTING/bbox-snapshots/frame06552_id20323.png", "frame06552_id20323.png")</f>
        <v/>
      </c>
    </row>
    <row r="1282">
      <c r="A1282" t="n">
        <v>6553</v>
      </c>
      <c r="B1282" t="n">
        <v>20320</v>
      </c>
      <c r="C1282" t="n">
        <v>39271</v>
      </c>
      <c r="D1282" t="n">
        <v>1</v>
      </c>
      <c r="E1282">
        <f>HYPERLINK("file:///C:/Users/anye forti/Desktop/2025 FALL/426 COSC/YOLO_TESTING/bbox-snapshots/frame06553_id20320.png", "frame06553_id20320.png")</f>
        <v/>
      </c>
    </row>
    <row r="1283">
      <c r="A1283" t="n">
        <v>6558</v>
      </c>
      <c r="B1283" t="n">
        <v>20484</v>
      </c>
      <c r="C1283" t="n">
        <v>32970</v>
      </c>
      <c r="D1283" t="n">
        <v>1</v>
      </c>
      <c r="E1283">
        <f>HYPERLINK("file:///C:/Users/anye forti/Desktop/2025 FALL/426 COSC/YOLO_TESTING/bbox-snapshots/frame06558_id20484.png", "frame06558_id20484.png")</f>
        <v/>
      </c>
    </row>
    <row r="1284">
      <c r="A1284" t="n">
        <v>6560</v>
      </c>
      <c r="B1284" t="n">
        <v>20493</v>
      </c>
      <c r="C1284" t="n">
        <v>31717</v>
      </c>
      <c r="D1284" t="n">
        <v>1</v>
      </c>
      <c r="E1284">
        <f>HYPERLINK("file:///C:/Users/anye forti/Desktop/2025 FALL/426 COSC/YOLO_TESTING/bbox-snapshots/frame06560_id20493.png", "frame06560_id20493.png")</f>
        <v/>
      </c>
    </row>
    <row r="1285">
      <c r="A1285" t="n">
        <v>6565</v>
      </c>
      <c r="B1285" t="n">
        <v>20602</v>
      </c>
      <c r="C1285" t="n">
        <v>12154</v>
      </c>
      <c r="D1285" t="n">
        <v>0</v>
      </c>
      <c r="E1285">
        <f>HYPERLINK("file:///C:/Users/anye forti/Desktop/2025 FALL/426 COSC/YOLO_TESTING/bbox-snapshots/frame06565_id20602.png", "frame06565_id20602.png")</f>
        <v/>
      </c>
    </row>
    <row r="1286">
      <c r="A1286" t="n">
        <v>6570</v>
      </c>
      <c r="B1286" t="n">
        <v>20532</v>
      </c>
      <c r="C1286" t="n">
        <v>47816</v>
      </c>
      <c r="D1286" t="n">
        <v>1</v>
      </c>
      <c r="E1286">
        <f>HYPERLINK("file:///C:/Users/anye forti/Desktop/2025 FALL/426 COSC/YOLO_TESTING/bbox-snapshots/frame06570_id20532.png", "frame06570_id20532.png")</f>
        <v/>
      </c>
    </row>
    <row r="1287">
      <c r="A1287" t="n">
        <v>6571</v>
      </c>
      <c r="B1287" t="n">
        <v>20553</v>
      </c>
      <c r="C1287" t="n">
        <v>72412</v>
      </c>
      <c r="D1287" t="n">
        <v>2</v>
      </c>
      <c r="E1287">
        <f>HYPERLINK("file:///C:/Users/anye forti/Desktop/2025 FALL/426 COSC/YOLO_TESTING/bbox-snapshots/frame06571_id20553.png", "frame06571_id20553.png")</f>
        <v/>
      </c>
    </row>
    <row r="1288">
      <c r="A1288" t="n">
        <v>6572</v>
      </c>
      <c r="B1288" t="n">
        <v>20546</v>
      </c>
      <c r="C1288" t="n">
        <v>27030</v>
      </c>
      <c r="D1288" t="n">
        <v>1</v>
      </c>
      <c r="E1288">
        <f>HYPERLINK("file:///C:/Users/anye forti/Desktop/2025 FALL/426 COSC/YOLO_TESTING/bbox-snapshots/frame06572_id20546.png", "frame06572_id20546.png")</f>
        <v/>
      </c>
    </row>
    <row r="1289">
      <c r="A1289" t="n">
        <v>6582</v>
      </c>
      <c r="B1289" t="n">
        <v>20632</v>
      </c>
      <c r="C1289" t="n">
        <v>58705</v>
      </c>
      <c r="D1289" t="n">
        <v>1</v>
      </c>
      <c r="E1289">
        <f>HYPERLINK("file:///C:/Users/anye forti/Desktop/2025 FALL/426 COSC/YOLO_TESTING/bbox-snapshots/frame06582_id20632.png", "frame06582_id20632.png")</f>
        <v/>
      </c>
    </row>
    <row r="1290">
      <c r="A1290" t="n">
        <v>6586</v>
      </c>
      <c r="B1290" t="n">
        <v>20615</v>
      </c>
      <c r="C1290" t="n">
        <v>54325</v>
      </c>
      <c r="D1290" t="n">
        <v>1</v>
      </c>
      <c r="E1290">
        <f>HYPERLINK("file:///C:/Users/anye forti/Desktop/2025 FALL/426 COSC/YOLO_TESTING/bbox-snapshots/frame06586_id20615.png", "frame06586_id20615.png")</f>
        <v/>
      </c>
    </row>
    <row r="1291">
      <c r="A1291" t="n">
        <v>6589</v>
      </c>
      <c r="B1291" t="n">
        <v>20653</v>
      </c>
      <c r="C1291" t="n">
        <v>53404</v>
      </c>
      <c r="D1291" t="n">
        <v>1</v>
      </c>
      <c r="E1291">
        <f>HYPERLINK("file:///C:/Users/anye forti/Desktop/2025 FALL/426 COSC/YOLO_TESTING/bbox-snapshots/frame06589_id20653.png", "frame06589_id20653.png")</f>
        <v/>
      </c>
    </row>
    <row r="1292">
      <c r="A1292" t="n">
        <v>6610</v>
      </c>
      <c r="B1292" t="n">
        <v>20681</v>
      </c>
      <c r="C1292" t="n">
        <v>53586</v>
      </c>
      <c r="D1292" t="n">
        <v>1</v>
      </c>
      <c r="E1292">
        <f>HYPERLINK("file:///C:/Users/anye forti/Desktop/2025 FALL/426 COSC/YOLO_TESTING/bbox-snapshots/frame06610_id20681.png", "frame06610_id20681.png")</f>
        <v/>
      </c>
    </row>
    <row r="1293">
      <c r="A1293" t="n">
        <v>6618</v>
      </c>
      <c r="B1293" t="n">
        <v>20690</v>
      </c>
      <c r="C1293" t="n">
        <v>30880</v>
      </c>
      <c r="D1293" t="n">
        <v>1</v>
      </c>
      <c r="E1293">
        <f>HYPERLINK("file:///C:/Users/anye forti/Desktop/2025 FALL/426 COSC/YOLO_TESTING/bbox-snapshots/frame06618_id20690.png", "frame06618_id20690.png")</f>
        <v/>
      </c>
    </row>
    <row r="1294">
      <c r="A1294" t="n">
        <v>6624</v>
      </c>
      <c r="B1294" t="n">
        <v>20711</v>
      </c>
      <c r="C1294" t="n">
        <v>40194</v>
      </c>
      <c r="D1294" t="n">
        <v>1</v>
      </c>
      <c r="E1294">
        <f>HYPERLINK("file:///C:/Users/anye forti/Desktop/2025 FALL/426 COSC/YOLO_TESTING/bbox-snapshots/frame06624_id20711.png", "frame06624_id20711.png")</f>
        <v/>
      </c>
    </row>
    <row r="1295">
      <c r="A1295" t="n">
        <v>6628</v>
      </c>
      <c r="B1295" t="n">
        <v>20713</v>
      </c>
      <c r="C1295" t="n">
        <v>26274</v>
      </c>
      <c r="D1295" t="n">
        <v>1</v>
      </c>
      <c r="E1295">
        <f>HYPERLINK("file:///C:/Users/anye forti/Desktop/2025 FALL/426 COSC/YOLO_TESTING/bbox-snapshots/frame06628_id20713.png", "frame06628_id20713.png")</f>
        <v/>
      </c>
    </row>
    <row r="1296">
      <c r="A1296" t="n">
        <v>6633</v>
      </c>
      <c r="B1296" t="n">
        <v>20719</v>
      </c>
      <c r="C1296" t="n">
        <v>41886</v>
      </c>
      <c r="D1296" t="n">
        <v>1</v>
      </c>
      <c r="E1296">
        <f>HYPERLINK("file:///C:/Users/anye forti/Desktop/2025 FALL/426 COSC/YOLO_TESTING/bbox-snapshots/frame06633_id20719.png", "frame06633_id20719.png")</f>
        <v/>
      </c>
    </row>
    <row r="1297">
      <c r="A1297" t="n">
        <v>6647</v>
      </c>
      <c r="B1297" t="n">
        <v>20762</v>
      </c>
      <c r="C1297" t="n">
        <v>34209</v>
      </c>
      <c r="D1297" t="n">
        <v>1</v>
      </c>
      <c r="E1297">
        <f>HYPERLINK("file:///C:/Users/anye forti/Desktop/2025 FALL/426 COSC/YOLO_TESTING/bbox-snapshots/frame06647_id20762.png", "frame06647_id20762.png")</f>
        <v/>
      </c>
    </row>
    <row r="1298">
      <c r="A1298" t="n">
        <v>6648</v>
      </c>
      <c r="B1298" t="n">
        <v>20820</v>
      </c>
      <c r="C1298" t="n">
        <v>44800</v>
      </c>
      <c r="D1298" t="n">
        <v>1</v>
      </c>
      <c r="E1298">
        <f>HYPERLINK("file:///C:/Users/anye forti/Desktop/2025 FALL/426 COSC/YOLO_TESTING/bbox-snapshots/frame06648_id20820.png", "frame06648_id20820.png")</f>
        <v/>
      </c>
    </row>
    <row r="1299">
      <c r="A1299" t="n">
        <v>6649</v>
      </c>
      <c r="B1299" t="n">
        <v>20747</v>
      </c>
      <c r="C1299" t="n">
        <v>18090</v>
      </c>
      <c r="D1299" t="n">
        <v>1</v>
      </c>
      <c r="E1299">
        <f>HYPERLINK("file:///C:/Users/anye forti/Desktop/2025 FALL/426 COSC/YOLO_TESTING/bbox-snapshots/frame06649_id20747.png", "frame06649_id20747.png")</f>
        <v/>
      </c>
    </row>
    <row r="1300">
      <c r="A1300" t="n">
        <v>6653</v>
      </c>
      <c r="B1300" t="n">
        <v>20787</v>
      </c>
      <c r="C1300" t="n">
        <v>27209</v>
      </c>
      <c r="D1300" t="n">
        <v>1</v>
      </c>
      <c r="E1300">
        <f>HYPERLINK("file:///C:/Users/anye forti/Desktop/2025 FALL/426 COSC/YOLO_TESTING/bbox-snapshots/frame06653_id20787.png", "frame06653_id20787.png")</f>
        <v/>
      </c>
    </row>
    <row r="1301">
      <c r="A1301" t="n">
        <v>6656</v>
      </c>
      <c r="B1301" t="n">
        <v>20817</v>
      </c>
      <c r="C1301" t="n">
        <v>22308</v>
      </c>
      <c r="D1301" t="n">
        <v>1</v>
      </c>
      <c r="E1301">
        <f>HYPERLINK("file:///C:/Users/anye forti/Desktop/2025 FALL/426 COSC/YOLO_TESTING/bbox-snapshots/frame06656_id20817.png", "frame06656_id20817.png")</f>
        <v/>
      </c>
    </row>
    <row r="1302">
      <c r="A1302" t="n">
        <v>6657</v>
      </c>
      <c r="B1302" t="n">
        <v>20750</v>
      </c>
      <c r="C1302" t="n">
        <v>54707</v>
      </c>
      <c r="D1302" t="n">
        <v>1</v>
      </c>
      <c r="E1302">
        <f>HYPERLINK("file:///C:/Users/anye forti/Desktop/2025 FALL/426 COSC/YOLO_TESTING/bbox-snapshots/frame06657_id20750.png", "frame06657_id20750.png")</f>
        <v/>
      </c>
    </row>
    <row r="1303">
      <c r="A1303" t="n">
        <v>6658</v>
      </c>
      <c r="B1303" t="n">
        <v>20813</v>
      </c>
      <c r="C1303" t="n">
        <v>45540</v>
      </c>
      <c r="D1303" t="n">
        <v>1</v>
      </c>
      <c r="E1303">
        <f>HYPERLINK("file:///C:/Users/anye forti/Desktop/2025 FALL/426 COSC/YOLO_TESTING/bbox-snapshots/frame06658_id20813.png", "frame06658_id20813.png")</f>
        <v/>
      </c>
    </row>
    <row r="1304">
      <c r="A1304" t="n">
        <v>6659</v>
      </c>
      <c r="B1304" t="n">
        <v>20818</v>
      </c>
      <c r="C1304" t="n">
        <v>29682</v>
      </c>
      <c r="D1304" t="n">
        <v>1</v>
      </c>
      <c r="E1304">
        <f>HYPERLINK("file:///C:/Users/anye forti/Desktop/2025 FALL/426 COSC/YOLO_TESTING/bbox-snapshots/frame06659_id20818.png", "frame06659_id20818.png")</f>
        <v/>
      </c>
    </row>
    <row r="1305">
      <c r="A1305" t="n">
        <v>6665</v>
      </c>
      <c r="B1305" t="n">
        <v>20823</v>
      </c>
      <c r="C1305" t="n">
        <v>38194</v>
      </c>
      <c r="D1305" t="n">
        <v>1</v>
      </c>
      <c r="E1305">
        <f>HYPERLINK("file:///C:/Users/anye forti/Desktop/2025 FALL/426 COSC/YOLO_TESTING/bbox-snapshots/frame06665_id20823.png", "frame06665_id20823.png")</f>
        <v/>
      </c>
    </row>
    <row r="1306">
      <c r="A1306" t="n">
        <v>6666</v>
      </c>
      <c r="B1306" t="n">
        <v>20906</v>
      </c>
      <c r="C1306" t="n">
        <v>89693</v>
      </c>
      <c r="D1306" t="n">
        <v>2</v>
      </c>
      <c r="E1306">
        <f>HYPERLINK("file:///C:/Users/anye forti/Desktop/2025 FALL/426 COSC/YOLO_TESTING/bbox-snapshots/frame06666_id20906.png", "frame06666_id20906.png")</f>
        <v/>
      </c>
    </row>
    <row r="1307">
      <c r="A1307" t="n">
        <v>6672</v>
      </c>
      <c r="B1307" t="n">
        <v>20800</v>
      </c>
      <c r="C1307" t="n">
        <v>68896</v>
      </c>
      <c r="D1307" t="n">
        <v>2</v>
      </c>
      <c r="E1307">
        <f>HYPERLINK("file:///C:/Users/anye forti/Desktop/2025 FALL/426 COSC/YOLO_TESTING/bbox-snapshots/frame06672_id20800.png", "frame06672_id20800.png")</f>
        <v/>
      </c>
    </row>
    <row r="1308">
      <c r="A1308" t="n">
        <v>6677</v>
      </c>
      <c r="B1308" t="n">
        <v>20895</v>
      </c>
      <c r="C1308" t="n">
        <v>45080</v>
      </c>
      <c r="D1308" t="n">
        <v>1</v>
      </c>
      <c r="E1308">
        <f>HYPERLINK("file:///C:/Users/anye forti/Desktop/2025 FALL/426 COSC/YOLO_TESTING/bbox-snapshots/frame06677_id20895.png", "frame06677_id20895.png")</f>
        <v/>
      </c>
    </row>
    <row r="1309">
      <c r="A1309" t="n">
        <v>6690</v>
      </c>
      <c r="B1309" t="n">
        <v>20925</v>
      </c>
      <c r="C1309" t="n">
        <v>21573</v>
      </c>
      <c r="D1309" t="n">
        <v>1</v>
      </c>
      <c r="E1309">
        <f>HYPERLINK("file:///C:/Users/anye forti/Desktop/2025 FALL/426 COSC/YOLO_TESTING/bbox-snapshots/frame06690_id20925.png", "frame06690_id20925.png")</f>
        <v/>
      </c>
    </row>
    <row r="1310">
      <c r="A1310" t="n">
        <v>6693</v>
      </c>
      <c r="B1310" t="n">
        <v>20888</v>
      </c>
      <c r="C1310" t="n">
        <v>57270</v>
      </c>
      <c r="D1310" t="n">
        <v>1</v>
      </c>
      <c r="E1310">
        <f>HYPERLINK("file:///C:/Users/anye forti/Desktop/2025 FALL/426 COSC/YOLO_TESTING/bbox-snapshots/frame06693_id20888.png", "frame06693_id20888.png")</f>
        <v/>
      </c>
    </row>
    <row r="1311">
      <c r="A1311" t="n">
        <v>6696</v>
      </c>
      <c r="B1311" t="n">
        <v>20982</v>
      </c>
      <c r="C1311" t="n">
        <v>45747</v>
      </c>
      <c r="D1311" t="n">
        <v>1</v>
      </c>
      <c r="E1311">
        <f>HYPERLINK("file:///C:/Users/anye forti/Desktop/2025 FALL/426 COSC/YOLO_TESTING/bbox-snapshots/frame06696_id20982.png", "frame06696_id20982.png")</f>
        <v/>
      </c>
    </row>
    <row r="1312">
      <c r="A1312" t="n">
        <v>6697</v>
      </c>
      <c r="B1312" t="n">
        <v>20992</v>
      </c>
      <c r="C1312" t="n">
        <v>39445</v>
      </c>
      <c r="D1312" t="n">
        <v>1</v>
      </c>
      <c r="E1312">
        <f>HYPERLINK("file:///C:/Users/anye forti/Desktop/2025 FALL/426 COSC/YOLO_TESTING/bbox-snapshots/frame06697_id20992.png", "frame06697_id20992.png")</f>
        <v/>
      </c>
    </row>
    <row r="1313">
      <c r="A1313" t="n">
        <v>6705</v>
      </c>
      <c r="B1313" t="n">
        <v>21067</v>
      </c>
      <c r="C1313" t="n">
        <v>24568</v>
      </c>
      <c r="D1313" t="n">
        <v>1</v>
      </c>
      <c r="E1313">
        <f>HYPERLINK("file:///C:/Users/anye forti/Desktop/2025 FALL/426 COSC/YOLO_TESTING/bbox-snapshots/frame06705_id21067.png", "frame06705_id21067.png")</f>
        <v/>
      </c>
    </row>
    <row r="1314">
      <c r="A1314" t="n">
        <v>6706</v>
      </c>
      <c r="B1314" t="n">
        <v>21050</v>
      </c>
      <c r="C1314" t="n">
        <v>70112</v>
      </c>
      <c r="D1314" t="n">
        <v>2</v>
      </c>
      <c r="E1314">
        <f>HYPERLINK("file:///C:/Users/anye forti/Desktop/2025 FALL/426 COSC/YOLO_TESTING/bbox-snapshots/frame06706_id21050.png", "frame06706_id21050.png")</f>
        <v/>
      </c>
    </row>
    <row r="1315">
      <c r="A1315" t="n">
        <v>6710</v>
      </c>
      <c r="B1315" t="n">
        <v>21044</v>
      </c>
      <c r="C1315" t="n">
        <v>36091</v>
      </c>
      <c r="D1315" t="n">
        <v>1</v>
      </c>
      <c r="E1315">
        <f>HYPERLINK("file:///C:/Users/anye forti/Desktop/2025 FALL/426 COSC/YOLO_TESTING/bbox-snapshots/frame06710_id21044.png", "frame06710_id21044.png")</f>
        <v/>
      </c>
    </row>
    <row r="1316">
      <c r="A1316" t="n">
        <v>6715</v>
      </c>
      <c r="B1316" t="n">
        <v>21093</v>
      </c>
      <c r="C1316" t="n">
        <v>51240</v>
      </c>
      <c r="D1316" t="n">
        <v>1</v>
      </c>
      <c r="E1316">
        <f>HYPERLINK("file:///C:/Users/anye forti/Desktop/2025 FALL/426 COSC/YOLO_TESTING/bbox-snapshots/frame06715_id21093.png", "frame06715_id21093.png")</f>
        <v/>
      </c>
    </row>
    <row r="1317">
      <c r="A1317" t="n">
        <v>6722</v>
      </c>
      <c r="B1317" t="n">
        <v>21022</v>
      </c>
      <c r="C1317" t="n">
        <v>38606</v>
      </c>
      <c r="D1317" t="n">
        <v>1</v>
      </c>
      <c r="E1317">
        <f>HYPERLINK("file:///C:/Users/anye forti/Desktop/2025 FALL/426 COSC/YOLO_TESTING/bbox-snapshots/frame06722_id21022.png", "frame06722_id21022.png")</f>
        <v/>
      </c>
    </row>
    <row r="1318">
      <c r="A1318" t="n">
        <v>6736</v>
      </c>
      <c r="B1318" t="n">
        <v>21099</v>
      </c>
      <c r="C1318" t="n">
        <v>70210</v>
      </c>
      <c r="D1318" t="n">
        <v>2</v>
      </c>
      <c r="E1318">
        <f>HYPERLINK("file:///C:/Users/anye forti/Desktop/2025 FALL/426 COSC/YOLO_TESTING/bbox-snapshots/frame06736_id21099.png", "frame06736_id21099.png")</f>
        <v/>
      </c>
    </row>
    <row r="1319">
      <c r="A1319" t="n">
        <v>6750</v>
      </c>
      <c r="B1319" t="n">
        <v>21191</v>
      </c>
      <c r="C1319" t="n">
        <v>43708</v>
      </c>
      <c r="D1319" t="n">
        <v>1</v>
      </c>
      <c r="E1319">
        <f>HYPERLINK("file:///C:/Users/anye forti/Desktop/2025 FALL/426 COSC/YOLO_TESTING/bbox-snapshots/frame06750_id21191.png", "frame06750_id21191.png")</f>
        <v/>
      </c>
    </row>
    <row r="1320">
      <c r="A1320" t="n">
        <v>6750</v>
      </c>
      <c r="B1320" t="n">
        <v>21185</v>
      </c>
      <c r="C1320" t="n">
        <v>28396</v>
      </c>
      <c r="D1320" t="n">
        <v>1</v>
      </c>
      <c r="E1320">
        <f>HYPERLINK("file:///C:/Users/anye forti/Desktop/2025 FALL/426 COSC/YOLO_TESTING/bbox-snapshots/frame06750_id21185.png", "frame06750_id21185.png")</f>
        <v/>
      </c>
    </row>
    <row r="1321">
      <c r="A1321" t="n">
        <v>6753</v>
      </c>
      <c r="B1321" t="n">
        <v>21198</v>
      </c>
      <c r="C1321" t="n">
        <v>35970</v>
      </c>
      <c r="D1321" t="n">
        <v>1</v>
      </c>
      <c r="E1321">
        <f>HYPERLINK("file:///C:/Users/anye forti/Desktop/2025 FALL/426 COSC/YOLO_TESTING/bbox-snapshots/frame06753_id21198.png", "frame06753_id21198.png")</f>
        <v/>
      </c>
    </row>
    <row r="1322">
      <c r="A1322" t="n">
        <v>6754</v>
      </c>
      <c r="B1322" t="n">
        <v>21246</v>
      </c>
      <c r="C1322" t="n">
        <v>48135</v>
      </c>
      <c r="D1322" t="n">
        <v>1</v>
      </c>
      <c r="E1322">
        <f>HYPERLINK("file:///C:/Users/anye forti/Desktop/2025 FALL/426 COSC/YOLO_TESTING/bbox-snapshots/frame06754_id21246.png", "frame06754_id21246.png")</f>
        <v/>
      </c>
    </row>
    <row r="1323">
      <c r="A1323" t="n">
        <v>6755</v>
      </c>
      <c r="B1323" t="n">
        <v>21204</v>
      </c>
      <c r="C1323" t="n">
        <v>45741</v>
      </c>
      <c r="D1323" t="n">
        <v>1</v>
      </c>
      <c r="E1323">
        <f>HYPERLINK("file:///C:/Users/anye forti/Desktop/2025 FALL/426 COSC/YOLO_TESTING/bbox-snapshots/frame06755_id21204.png", "frame06755_id21204.png")</f>
        <v/>
      </c>
    </row>
    <row r="1324">
      <c r="A1324" t="n">
        <v>6764</v>
      </c>
      <c r="B1324" t="n">
        <v>21046</v>
      </c>
      <c r="C1324" t="n">
        <v>68887</v>
      </c>
      <c r="D1324" t="n">
        <v>2</v>
      </c>
      <c r="E1324">
        <f>HYPERLINK("file:///C:/Users/anye forti/Desktop/2025 FALL/426 COSC/YOLO_TESTING/bbox-snapshots/frame06764_id21046.png", "frame06764_id21046.png")</f>
        <v/>
      </c>
    </row>
    <row r="1325">
      <c r="A1325" t="n">
        <v>6764</v>
      </c>
      <c r="B1325" t="n">
        <v>21244</v>
      </c>
      <c r="C1325" t="n">
        <v>50440</v>
      </c>
      <c r="D1325" t="n">
        <v>1</v>
      </c>
      <c r="E1325">
        <f>HYPERLINK("file:///C:/Users/anye forti/Desktop/2025 FALL/426 COSC/YOLO_TESTING/bbox-snapshots/frame06764_id21244.png", "frame06764_id21244.png")</f>
        <v/>
      </c>
    </row>
    <row r="1326">
      <c r="A1326" t="n">
        <v>6768</v>
      </c>
      <c r="B1326" t="n">
        <v>21280</v>
      </c>
      <c r="C1326" t="n">
        <v>50808</v>
      </c>
      <c r="D1326" t="n">
        <v>1</v>
      </c>
      <c r="E1326">
        <f>HYPERLINK("file:///C:/Users/anye forti/Desktop/2025 FALL/426 COSC/YOLO_TESTING/bbox-snapshots/frame06768_id21280.png", "frame06768_id21280.png")</f>
        <v/>
      </c>
    </row>
    <row r="1327">
      <c r="A1327" t="n">
        <v>6777</v>
      </c>
      <c r="B1327" t="n">
        <v>21345</v>
      </c>
      <c r="C1327" t="n">
        <v>28392</v>
      </c>
      <c r="D1327" t="n">
        <v>1</v>
      </c>
      <c r="E1327">
        <f>HYPERLINK("file:///C:/Users/anye forti/Desktop/2025 FALL/426 COSC/YOLO_TESTING/bbox-snapshots/frame06777_id21345.png", "frame06777_id21345.png")</f>
        <v/>
      </c>
    </row>
    <row r="1328">
      <c r="A1328" t="n">
        <v>6778</v>
      </c>
      <c r="B1328" t="n">
        <v>21111</v>
      </c>
      <c r="C1328" t="n">
        <v>54466</v>
      </c>
      <c r="D1328" t="n">
        <v>1</v>
      </c>
      <c r="E1328">
        <f>HYPERLINK("file:///C:/Users/anye forti/Desktop/2025 FALL/426 COSC/YOLO_TESTING/bbox-snapshots/frame06778_id21111.png", "frame06778_id21111.png")</f>
        <v/>
      </c>
    </row>
    <row r="1329">
      <c r="A1329" t="n">
        <v>6782</v>
      </c>
      <c r="B1329" t="n">
        <v>21349</v>
      </c>
      <c r="C1329" t="n">
        <v>41934</v>
      </c>
      <c r="D1329" t="n">
        <v>1</v>
      </c>
      <c r="E1329">
        <f>HYPERLINK("file:///C:/Users/anye forti/Desktop/2025 FALL/426 COSC/YOLO_TESTING/bbox-snapshots/frame06782_id21349.png", "frame06782_id21349.png")</f>
        <v/>
      </c>
    </row>
    <row r="1330">
      <c r="A1330" t="n">
        <v>6783</v>
      </c>
      <c r="B1330" t="n">
        <v>21350</v>
      </c>
      <c r="C1330" t="n">
        <v>43575</v>
      </c>
      <c r="D1330" t="n">
        <v>1</v>
      </c>
      <c r="E1330">
        <f>HYPERLINK("file:///C:/Users/anye forti/Desktop/2025 FALL/426 COSC/YOLO_TESTING/bbox-snapshots/frame06783_id21350.png", "frame06783_id21350.png")</f>
        <v/>
      </c>
    </row>
    <row r="1331">
      <c r="A1331" t="n">
        <v>6785</v>
      </c>
      <c r="B1331" t="n">
        <v>21346</v>
      </c>
      <c r="C1331" t="n">
        <v>46930</v>
      </c>
      <c r="D1331" t="n">
        <v>1</v>
      </c>
      <c r="E1331">
        <f>HYPERLINK("file:///C:/Users/anye forti/Desktop/2025 FALL/426 COSC/YOLO_TESTING/bbox-snapshots/frame06785_id21346.png", "frame06785_id21346.png")</f>
        <v/>
      </c>
    </row>
    <row r="1332">
      <c r="A1332" t="n">
        <v>6789</v>
      </c>
      <c r="B1332" t="n">
        <v>21325</v>
      </c>
      <c r="C1332" t="n">
        <v>61008</v>
      </c>
      <c r="D1332" t="n">
        <v>2</v>
      </c>
      <c r="E1332">
        <f>HYPERLINK("file:///C:/Users/anye forti/Desktop/2025 FALL/426 COSC/YOLO_TESTING/bbox-snapshots/frame06789_id21325.png", "frame06789_id21325.png")</f>
        <v/>
      </c>
    </row>
    <row r="1333">
      <c r="A1333" t="n">
        <v>6797</v>
      </c>
      <c r="B1333" t="n">
        <v>21453</v>
      </c>
      <c r="C1333" t="n">
        <v>50874</v>
      </c>
      <c r="D1333" t="n">
        <v>1</v>
      </c>
      <c r="E1333">
        <f>HYPERLINK("file:///C:/Users/anye forti/Desktop/2025 FALL/426 COSC/YOLO_TESTING/bbox-snapshots/frame06797_id21453.png", "frame06797_id21453.png")</f>
        <v/>
      </c>
    </row>
    <row r="1334">
      <c r="A1334" t="n">
        <v>6797</v>
      </c>
      <c r="B1334" t="n">
        <v>21485</v>
      </c>
      <c r="C1334" t="n">
        <v>12513</v>
      </c>
      <c r="D1334" t="n">
        <v>1</v>
      </c>
      <c r="E1334">
        <f>HYPERLINK("file:///C:/Users/anye forti/Desktop/2025 FALL/426 COSC/YOLO_TESTING/bbox-snapshots/frame06797_id21485.png", "frame06797_id21485.png")</f>
        <v/>
      </c>
    </row>
    <row r="1335">
      <c r="A1335" t="n">
        <v>6799</v>
      </c>
      <c r="B1335" t="n">
        <v>21408</v>
      </c>
      <c r="C1335" t="n">
        <v>41810</v>
      </c>
      <c r="D1335" t="n">
        <v>1</v>
      </c>
      <c r="E1335">
        <f>HYPERLINK("file:///C:/Users/anye forti/Desktop/2025 FALL/426 COSC/YOLO_TESTING/bbox-snapshots/frame06799_id21408.png", "frame06799_id21408.png")</f>
        <v/>
      </c>
    </row>
    <row r="1336">
      <c r="A1336" t="n">
        <v>6805</v>
      </c>
      <c r="B1336" t="n">
        <v>21422</v>
      </c>
      <c r="C1336" t="n">
        <v>52734</v>
      </c>
      <c r="D1336" t="n">
        <v>1</v>
      </c>
      <c r="E1336">
        <f>HYPERLINK("file:///C:/Users/anye forti/Desktop/2025 FALL/426 COSC/YOLO_TESTING/bbox-snapshots/frame06805_id21422.png", "frame06805_id21422.png")</f>
        <v/>
      </c>
    </row>
    <row r="1337">
      <c r="A1337" t="n">
        <v>6806</v>
      </c>
      <c r="B1337" t="n">
        <v>21394</v>
      </c>
      <c r="C1337" t="n">
        <v>33930</v>
      </c>
      <c r="D1337" t="n">
        <v>1</v>
      </c>
      <c r="E1337">
        <f>HYPERLINK("file:///C:/Users/anye forti/Desktop/2025 FALL/426 COSC/YOLO_TESTING/bbox-snapshots/frame06806_id21394.png", "frame06806_id21394.png")</f>
        <v/>
      </c>
    </row>
    <row r="1338">
      <c r="A1338" t="n">
        <v>6806</v>
      </c>
      <c r="B1338" t="n">
        <v>21456</v>
      </c>
      <c r="C1338" t="n">
        <v>32736</v>
      </c>
      <c r="D1338" t="n">
        <v>1</v>
      </c>
      <c r="E1338">
        <f>HYPERLINK("file:///C:/Users/anye forti/Desktop/2025 FALL/426 COSC/YOLO_TESTING/bbox-snapshots/frame06806_id21456.png", "frame06806_id21456.png")</f>
        <v/>
      </c>
    </row>
    <row r="1339">
      <c r="A1339" t="n">
        <v>6809</v>
      </c>
      <c r="B1339" t="n">
        <v>21442</v>
      </c>
      <c r="C1339" t="n">
        <v>43467</v>
      </c>
      <c r="D1339" t="n">
        <v>1</v>
      </c>
      <c r="E1339">
        <f>HYPERLINK("file:///C:/Users/anye forti/Desktop/2025 FALL/426 COSC/YOLO_TESTING/bbox-snapshots/frame06809_id21442.png", "frame06809_id21442.png")</f>
        <v/>
      </c>
    </row>
    <row r="1340">
      <c r="A1340" t="n">
        <v>6822</v>
      </c>
      <c r="B1340" t="n">
        <v>21523</v>
      </c>
      <c r="C1340" t="n">
        <v>64512</v>
      </c>
      <c r="D1340" t="n">
        <v>2</v>
      </c>
      <c r="E1340">
        <f>HYPERLINK("file:///C:/Users/anye forti/Desktop/2025 FALL/426 COSC/YOLO_TESTING/bbox-snapshots/frame06822_id21523.png", "frame06822_id21523.png")</f>
        <v/>
      </c>
    </row>
    <row r="1341">
      <c r="A1341" t="n">
        <v>6822</v>
      </c>
      <c r="B1341" t="n">
        <v>21526</v>
      </c>
      <c r="C1341" t="n">
        <v>39990</v>
      </c>
      <c r="D1341" t="n">
        <v>1</v>
      </c>
      <c r="E1341">
        <f>HYPERLINK("file:///C:/Users/anye forti/Desktop/2025 FALL/426 COSC/YOLO_TESTING/bbox-snapshots/frame06822_id21526.png", "frame06822_id21526.png")</f>
        <v/>
      </c>
    </row>
    <row r="1342">
      <c r="A1342" t="n">
        <v>6826</v>
      </c>
      <c r="B1342" t="n">
        <v>21552</v>
      </c>
      <c r="C1342" t="n">
        <v>34020</v>
      </c>
      <c r="D1342" t="n">
        <v>1</v>
      </c>
      <c r="E1342">
        <f>HYPERLINK("file:///C:/Users/anye forti/Desktop/2025 FALL/426 COSC/YOLO_TESTING/bbox-snapshots/frame06826_id21552.png", "frame06826_id21552.png")</f>
        <v/>
      </c>
    </row>
    <row r="1343">
      <c r="A1343" t="n">
        <v>6834</v>
      </c>
      <c r="B1343" t="n">
        <v>21571</v>
      </c>
      <c r="C1343" t="n">
        <v>44690</v>
      </c>
      <c r="D1343" t="n">
        <v>1</v>
      </c>
      <c r="E1343">
        <f>HYPERLINK("file:///C:/Users/anye forti/Desktop/2025 FALL/426 COSC/YOLO_TESTING/bbox-snapshots/frame06834_id21571.png", "frame06834_id21571.png")</f>
        <v/>
      </c>
    </row>
    <row r="1344">
      <c r="A1344" t="n">
        <v>6837</v>
      </c>
      <c r="B1344" t="n">
        <v>21599</v>
      </c>
      <c r="C1344" t="n">
        <v>38808</v>
      </c>
      <c r="D1344" t="n">
        <v>1</v>
      </c>
      <c r="E1344">
        <f>HYPERLINK("file:///C:/Users/anye forti/Desktop/2025 FALL/426 COSC/YOLO_TESTING/bbox-snapshots/frame06837_id21599.png", "frame06837_id21599.png")</f>
        <v/>
      </c>
    </row>
    <row r="1345">
      <c r="A1345" t="n">
        <v>6841</v>
      </c>
      <c r="B1345" t="n">
        <v>21590</v>
      </c>
      <c r="C1345" t="n">
        <v>33089</v>
      </c>
      <c r="D1345" t="n">
        <v>1</v>
      </c>
      <c r="E1345">
        <f>HYPERLINK("file:///C:/Users/anye forti/Desktop/2025 FALL/426 COSC/YOLO_TESTING/bbox-snapshots/frame06841_id21590.png", "frame06841_id21590.png")</f>
        <v/>
      </c>
    </row>
    <row r="1346">
      <c r="A1346" t="n">
        <v>6843</v>
      </c>
      <c r="B1346" t="n">
        <v>21634</v>
      </c>
      <c r="C1346" t="n">
        <v>32074</v>
      </c>
      <c r="D1346" t="n">
        <v>1</v>
      </c>
      <c r="E1346">
        <f>HYPERLINK("file:///C:/Users/anye forti/Desktop/2025 FALL/426 COSC/YOLO_TESTING/bbox-snapshots/frame06843_id21634.png", "frame06843_id21634.png")</f>
        <v/>
      </c>
    </row>
    <row r="1347">
      <c r="A1347" t="n">
        <v>6850</v>
      </c>
      <c r="B1347" t="n">
        <v>21666</v>
      </c>
      <c r="C1347" t="n">
        <v>41040</v>
      </c>
      <c r="D1347" t="n">
        <v>1</v>
      </c>
      <c r="E1347">
        <f>HYPERLINK("file:///C:/Users/anye forti/Desktop/2025 FALL/426 COSC/YOLO_TESTING/bbox-snapshots/frame06850_id21666.png", "frame06850_id21666.png")</f>
        <v/>
      </c>
    </row>
    <row r="1348">
      <c r="A1348" t="n">
        <v>6854</v>
      </c>
      <c r="B1348" t="n">
        <v>21653</v>
      </c>
      <c r="C1348" t="n">
        <v>39528</v>
      </c>
      <c r="D1348" t="n">
        <v>1</v>
      </c>
      <c r="E1348">
        <f>HYPERLINK("file:///C:/Users/anye forti/Desktop/2025 FALL/426 COSC/YOLO_TESTING/bbox-snapshots/frame06854_id21653.png", "frame06854_id21653.png")</f>
        <v/>
      </c>
    </row>
    <row r="1349">
      <c r="A1349" t="n">
        <v>6859</v>
      </c>
      <c r="B1349" t="n">
        <v>21674</v>
      </c>
      <c r="C1349" t="n">
        <v>52164</v>
      </c>
      <c r="D1349" t="n">
        <v>1</v>
      </c>
      <c r="E1349">
        <f>HYPERLINK("file:///C:/Users/anye forti/Desktop/2025 FALL/426 COSC/YOLO_TESTING/bbox-snapshots/frame06859_id21674.png", "frame06859_id21674.png")</f>
        <v/>
      </c>
    </row>
    <row r="1350">
      <c r="A1350" t="n">
        <v>6864</v>
      </c>
      <c r="B1350" t="n">
        <v>21699</v>
      </c>
      <c r="C1350" t="n">
        <v>38606</v>
      </c>
      <c r="D1350" t="n">
        <v>1</v>
      </c>
      <c r="E1350">
        <f>HYPERLINK("file:///C:/Users/anye forti/Desktop/2025 FALL/426 COSC/YOLO_TESTING/bbox-snapshots/frame06864_id21699.png", "frame06864_id21699.png")</f>
        <v/>
      </c>
    </row>
    <row r="1351">
      <c r="A1351" t="n">
        <v>6864</v>
      </c>
      <c r="B1351" t="n">
        <v>21738</v>
      </c>
      <c r="C1351" t="n">
        <v>43818</v>
      </c>
      <c r="D1351" t="n">
        <v>1</v>
      </c>
      <c r="E1351">
        <f>HYPERLINK("file:///C:/Users/anye forti/Desktop/2025 FALL/426 COSC/YOLO_TESTING/bbox-snapshots/frame06864_id21738.png", "frame06864_id21738.png")</f>
        <v/>
      </c>
    </row>
    <row r="1352">
      <c r="A1352" t="n">
        <v>6873</v>
      </c>
      <c r="B1352" t="n">
        <v>21628</v>
      </c>
      <c r="C1352" t="n">
        <v>40128</v>
      </c>
      <c r="D1352" t="n">
        <v>1</v>
      </c>
      <c r="E1352">
        <f>HYPERLINK("file:///C:/Users/anye forti/Desktop/2025 FALL/426 COSC/YOLO_TESTING/bbox-snapshots/frame06873_id21628.png", "frame06873_id21628.png")</f>
        <v/>
      </c>
    </row>
    <row r="1353">
      <c r="A1353" t="n">
        <v>6876</v>
      </c>
      <c r="B1353" t="n">
        <v>21724</v>
      </c>
      <c r="C1353" t="n">
        <v>50635</v>
      </c>
      <c r="D1353" t="n">
        <v>1</v>
      </c>
      <c r="E1353">
        <f>HYPERLINK("file:///C:/Users/anye forti/Desktop/2025 FALL/426 COSC/YOLO_TESTING/bbox-snapshots/frame06876_id21724.png", "frame06876_id21724.png")</f>
        <v/>
      </c>
    </row>
    <row r="1354">
      <c r="A1354" t="n">
        <v>6880</v>
      </c>
      <c r="B1354" t="n">
        <v>21773</v>
      </c>
      <c r="C1354" t="n">
        <v>42228</v>
      </c>
      <c r="D1354" t="n">
        <v>1</v>
      </c>
      <c r="E1354">
        <f>HYPERLINK("file:///C:/Users/anye forti/Desktop/2025 FALL/426 COSC/YOLO_TESTING/bbox-snapshots/frame06880_id21773.png", "frame06880_id21773.png")</f>
        <v/>
      </c>
    </row>
    <row r="1355">
      <c r="A1355" t="n">
        <v>6882</v>
      </c>
      <c r="B1355" t="n">
        <v>21595</v>
      </c>
      <c r="C1355" t="n">
        <v>52320</v>
      </c>
      <c r="D1355" t="n">
        <v>1</v>
      </c>
      <c r="E1355">
        <f>HYPERLINK("file:///C:/Users/anye forti/Desktop/2025 FALL/426 COSC/YOLO_TESTING/bbox-snapshots/frame06882_id21595.png", "frame06882_id21595.png")</f>
        <v/>
      </c>
    </row>
    <row r="1356">
      <c r="A1356" t="n">
        <v>6885</v>
      </c>
      <c r="B1356" t="n">
        <v>21821</v>
      </c>
      <c r="C1356" t="n">
        <v>46754</v>
      </c>
      <c r="D1356" t="n">
        <v>1</v>
      </c>
      <c r="E1356">
        <f>HYPERLINK("file:///C:/Users/anye forti/Desktop/2025 FALL/426 COSC/YOLO_TESTING/bbox-snapshots/frame06885_id21821.png", "frame06885_id21821.png")</f>
        <v/>
      </c>
    </row>
    <row r="1357">
      <c r="A1357" t="n">
        <v>6888</v>
      </c>
      <c r="B1357" t="n">
        <v>21819</v>
      </c>
      <c r="C1357" t="n">
        <v>39042</v>
      </c>
      <c r="D1357" t="n">
        <v>1</v>
      </c>
      <c r="E1357">
        <f>HYPERLINK("file:///C:/Users/anye forti/Desktop/2025 FALL/426 COSC/YOLO_TESTING/bbox-snapshots/frame06888_id21819.png", "frame06888_id21819.png")</f>
        <v/>
      </c>
    </row>
    <row r="1358">
      <c r="A1358" t="n">
        <v>6891</v>
      </c>
      <c r="B1358" t="n">
        <v>21899</v>
      </c>
      <c r="C1358" t="n">
        <v>14112</v>
      </c>
      <c r="D1358" t="n">
        <v>1</v>
      </c>
      <c r="E1358">
        <f>HYPERLINK("file:///C:/Users/anye forti/Desktop/2025 FALL/426 COSC/YOLO_TESTING/bbox-snapshots/frame06891_id21899.png", "frame06891_id21899.png")</f>
        <v/>
      </c>
    </row>
    <row r="1359">
      <c r="A1359" t="n">
        <v>6894</v>
      </c>
      <c r="B1359" t="n">
        <v>21829</v>
      </c>
      <c r="C1359" t="n">
        <v>36288</v>
      </c>
      <c r="D1359" t="n">
        <v>1</v>
      </c>
      <c r="E1359">
        <f>HYPERLINK("file:///C:/Users/anye forti/Desktop/2025 FALL/426 COSC/YOLO_TESTING/bbox-snapshots/frame06894_id21829.png", "frame06894_id21829.png")</f>
        <v/>
      </c>
    </row>
    <row r="1360">
      <c r="A1360" t="n">
        <v>6900</v>
      </c>
      <c r="B1360" t="n">
        <v>21834</v>
      </c>
      <c r="C1360" t="n">
        <v>62418</v>
      </c>
      <c r="D1360" t="n">
        <v>2</v>
      </c>
      <c r="E1360">
        <f>HYPERLINK("file:///C:/Users/anye forti/Desktop/2025 FALL/426 COSC/YOLO_TESTING/bbox-snapshots/frame06900_id21834.png", "frame06900_id21834.png")</f>
        <v/>
      </c>
    </row>
    <row r="1361">
      <c r="A1361" t="n">
        <v>6901</v>
      </c>
      <c r="B1361" t="n">
        <v>21867</v>
      </c>
      <c r="C1361" t="n">
        <v>41990</v>
      </c>
      <c r="D1361" t="n">
        <v>1</v>
      </c>
      <c r="E1361">
        <f>HYPERLINK("file:///C:/Users/anye forti/Desktop/2025 FALL/426 COSC/YOLO_TESTING/bbox-snapshots/frame06901_id21867.png", "frame06901_id21867.png")</f>
        <v/>
      </c>
    </row>
    <row r="1362">
      <c r="A1362" t="n">
        <v>6902</v>
      </c>
      <c r="B1362" t="n">
        <v>21866</v>
      </c>
      <c r="C1362" t="n">
        <v>40960</v>
      </c>
      <c r="D1362" t="n">
        <v>1</v>
      </c>
      <c r="E1362">
        <f>HYPERLINK("file:///C:/Users/anye forti/Desktop/2025 FALL/426 COSC/YOLO_TESTING/bbox-snapshots/frame06902_id21866.png", "frame06902_id21866.png")</f>
        <v/>
      </c>
    </row>
    <row r="1363">
      <c r="A1363" t="n">
        <v>6919</v>
      </c>
      <c r="B1363" t="n">
        <v>21923</v>
      </c>
      <c r="C1363" t="n">
        <v>65540</v>
      </c>
      <c r="D1363" t="n">
        <v>2</v>
      </c>
      <c r="E1363">
        <f>HYPERLINK("file:///C:/Users/anye forti/Desktop/2025 FALL/426 COSC/YOLO_TESTING/bbox-snapshots/frame06919_id21923.png", "frame06919_id21923.png")</f>
        <v/>
      </c>
    </row>
    <row r="1364">
      <c r="A1364" t="n">
        <v>6921</v>
      </c>
      <c r="B1364" t="n">
        <v>21932</v>
      </c>
      <c r="C1364" t="n">
        <v>48160</v>
      </c>
      <c r="D1364" t="n">
        <v>1</v>
      </c>
      <c r="E1364">
        <f>HYPERLINK("file:///C:/Users/anye forti/Desktop/2025 FALL/426 COSC/YOLO_TESTING/bbox-snapshots/frame06921_id21932.png", "frame06921_id21932.png")</f>
        <v/>
      </c>
    </row>
    <row r="1365">
      <c r="A1365" t="n">
        <v>6938</v>
      </c>
      <c r="B1365" t="n">
        <v>22014</v>
      </c>
      <c r="C1365" t="n">
        <v>34408</v>
      </c>
      <c r="D1365" t="n">
        <v>1</v>
      </c>
      <c r="E1365">
        <f>HYPERLINK("file:///C:/Users/anye forti/Desktop/2025 FALL/426 COSC/YOLO_TESTING/bbox-snapshots/frame06938_id22014.png", "frame06938_id22014.png")</f>
        <v/>
      </c>
    </row>
    <row r="1366">
      <c r="A1366" t="n">
        <v>6939</v>
      </c>
      <c r="B1366" t="n">
        <v>21998</v>
      </c>
      <c r="C1366" t="n">
        <v>48462</v>
      </c>
      <c r="D1366" t="n">
        <v>1</v>
      </c>
      <c r="E1366">
        <f>HYPERLINK("file:///C:/Users/anye forti/Desktop/2025 FALL/426 COSC/YOLO_TESTING/bbox-snapshots/frame06939_id21998.png", "frame06939_id21998.png")</f>
        <v/>
      </c>
    </row>
    <row r="1367">
      <c r="A1367" t="n">
        <v>6941</v>
      </c>
      <c r="B1367" t="n">
        <v>22022</v>
      </c>
      <c r="C1367" t="n">
        <v>33856</v>
      </c>
      <c r="D1367" t="n">
        <v>1</v>
      </c>
      <c r="E1367">
        <f>HYPERLINK("file:///C:/Users/anye forti/Desktop/2025 FALL/426 COSC/YOLO_TESTING/bbox-snapshots/frame06941_id22022.png", "frame06941_id22022.png")</f>
        <v/>
      </c>
    </row>
    <row r="1368">
      <c r="A1368" t="n">
        <v>6952</v>
      </c>
      <c r="B1368" t="n">
        <v>22056</v>
      </c>
      <c r="C1368" t="n">
        <v>59125</v>
      </c>
      <c r="D1368" t="n">
        <v>1</v>
      </c>
      <c r="E1368">
        <f>HYPERLINK("file:///C:/Users/anye forti/Desktop/2025 FALL/426 COSC/YOLO_TESTING/bbox-snapshots/frame06952_id22056.png", "frame06952_id22056.png")</f>
        <v/>
      </c>
    </row>
    <row r="1369">
      <c r="A1369" t="n">
        <v>6955</v>
      </c>
      <c r="B1369" t="n">
        <v>22065</v>
      </c>
      <c r="C1369" t="n">
        <v>49518</v>
      </c>
      <c r="D1369" t="n">
        <v>1</v>
      </c>
      <c r="E1369">
        <f>HYPERLINK("file:///C:/Users/anye forti/Desktop/2025 FALL/426 COSC/YOLO_TESTING/bbox-snapshots/frame06955_id22065.png", "frame06955_id22065.png")</f>
        <v/>
      </c>
    </row>
    <row r="1370">
      <c r="A1370" t="n">
        <v>6958</v>
      </c>
      <c r="B1370" t="n">
        <v>22076</v>
      </c>
      <c r="C1370" t="n">
        <v>21842</v>
      </c>
      <c r="D1370" t="n">
        <v>1</v>
      </c>
      <c r="E1370">
        <f>HYPERLINK("file:///C:/Users/anye forti/Desktop/2025 FALL/426 COSC/YOLO_TESTING/bbox-snapshots/frame06958_id22076.png", "frame06958_id22076.png")</f>
        <v/>
      </c>
    </row>
    <row r="1371">
      <c r="A1371" t="n">
        <v>6966</v>
      </c>
      <c r="B1371" t="n">
        <v>22090</v>
      </c>
      <c r="C1371" t="n">
        <v>42768</v>
      </c>
      <c r="D1371" t="n">
        <v>1</v>
      </c>
      <c r="E1371">
        <f>HYPERLINK("file:///C:/Users/anye forti/Desktop/2025 FALL/426 COSC/YOLO_TESTING/bbox-snapshots/frame06966_id22090.png", "frame06966_id22090.png")</f>
        <v/>
      </c>
    </row>
    <row r="1372">
      <c r="A1372" t="n">
        <v>6972</v>
      </c>
      <c r="B1372" t="n">
        <v>22106</v>
      </c>
      <c r="C1372" t="n">
        <v>50853</v>
      </c>
      <c r="D1372" t="n">
        <v>1</v>
      </c>
      <c r="E1372">
        <f>HYPERLINK("file:///C:/Users/anye forti/Desktop/2025 FALL/426 COSC/YOLO_TESTING/bbox-snapshots/frame06972_id22106.png", "frame06972_id22106.png")</f>
        <v/>
      </c>
    </row>
    <row r="1373">
      <c r="A1373" t="n">
        <v>6976</v>
      </c>
      <c r="B1373" t="n">
        <v>22112</v>
      </c>
      <c r="C1373" t="n">
        <v>28724</v>
      </c>
      <c r="D1373" t="n">
        <v>1</v>
      </c>
      <c r="E1373">
        <f>HYPERLINK("file:///C:/Users/anye forti/Desktop/2025 FALL/426 COSC/YOLO_TESTING/bbox-snapshots/frame06976_id22112.png", "frame06976_id22112.png")</f>
        <v/>
      </c>
    </row>
    <row r="1374">
      <c r="A1374" t="n">
        <v>6986</v>
      </c>
      <c r="B1374" t="n">
        <v>22127</v>
      </c>
      <c r="C1374" t="n">
        <v>60600</v>
      </c>
      <c r="D1374" t="n">
        <v>2</v>
      </c>
      <c r="E1374">
        <f>HYPERLINK("file:///C:/Users/anye forti/Desktop/2025 FALL/426 COSC/YOLO_TESTING/bbox-snapshots/frame06986_id22127.png", "frame06986_id22127.png")</f>
        <v/>
      </c>
    </row>
    <row r="1375">
      <c r="A1375" t="n">
        <v>6995</v>
      </c>
      <c r="B1375" t="n">
        <v>22149</v>
      </c>
      <c r="C1375" t="n">
        <v>43968</v>
      </c>
      <c r="D1375" t="n">
        <v>1</v>
      </c>
      <c r="E1375">
        <f>HYPERLINK("file:///C:/Users/anye forti/Desktop/2025 FALL/426 COSC/YOLO_TESTING/bbox-snapshots/frame06995_id22149.png", "frame06995_id22149.png")</f>
        <v/>
      </c>
    </row>
    <row r="1376">
      <c r="A1376" t="n">
        <v>7002</v>
      </c>
      <c r="B1376" t="n">
        <v>22198</v>
      </c>
      <c r="C1376" t="n">
        <v>45034</v>
      </c>
      <c r="D1376" t="n">
        <v>1</v>
      </c>
      <c r="E1376">
        <f>HYPERLINK("file:///C:/Users/anye forti/Desktop/2025 FALL/426 COSC/YOLO_TESTING/bbox-snapshots/frame07002_id22198.png", "frame07002_id22198.png")</f>
        <v/>
      </c>
    </row>
    <row r="1377">
      <c r="A1377" t="n">
        <v>7020</v>
      </c>
      <c r="B1377" t="n">
        <v>22181</v>
      </c>
      <c r="C1377" t="n">
        <v>71364</v>
      </c>
      <c r="D1377" t="n">
        <v>2</v>
      </c>
      <c r="E1377">
        <f>HYPERLINK("file:///C:/Users/anye forti/Desktop/2025 FALL/426 COSC/YOLO_TESTING/bbox-snapshots/frame07020_id22181.png", "frame07020_id22181.png")</f>
        <v/>
      </c>
    </row>
    <row r="1378">
      <c r="A1378" t="n">
        <v>7020</v>
      </c>
      <c r="B1378" t="n">
        <v>22185</v>
      </c>
      <c r="C1378" t="n">
        <v>49776</v>
      </c>
      <c r="D1378" t="n">
        <v>1</v>
      </c>
      <c r="E1378">
        <f>HYPERLINK("file:///C:/Users/anye forti/Desktop/2025 FALL/426 COSC/YOLO_TESTING/bbox-snapshots/frame07020_id22185.png", "frame07020_id22185.png")</f>
        <v/>
      </c>
    </row>
    <row r="1379">
      <c r="A1379" t="n">
        <v>7023</v>
      </c>
      <c r="B1379" t="n">
        <v>22210</v>
      </c>
      <c r="C1379" t="n">
        <v>30846</v>
      </c>
      <c r="D1379" t="n">
        <v>1</v>
      </c>
      <c r="E1379">
        <f>HYPERLINK("file:///C:/Users/anye forti/Desktop/2025 FALL/426 COSC/YOLO_TESTING/bbox-snapshots/frame07023_id22210.png", "frame07023_id22210.png")</f>
        <v/>
      </c>
    </row>
    <row r="1380">
      <c r="A1380" t="n">
        <v>7023</v>
      </c>
      <c r="B1380" t="n">
        <v>22219</v>
      </c>
      <c r="C1380" t="n">
        <v>19824</v>
      </c>
      <c r="D1380" t="n">
        <v>1</v>
      </c>
      <c r="E1380">
        <f>HYPERLINK("file:///C:/Users/anye forti/Desktop/2025 FALL/426 COSC/YOLO_TESTING/bbox-snapshots/frame07023_id22219.png", "frame07023_id22219.png")</f>
        <v/>
      </c>
    </row>
    <row r="1381">
      <c r="A1381" t="n">
        <v>7025</v>
      </c>
      <c r="B1381" t="n">
        <v>22222</v>
      </c>
      <c r="C1381" t="n">
        <v>34485</v>
      </c>
      <c r="D1381" t="n">
        <v>1</v>
      </c>
      <c r="E1381">
        <f>HYPERLINK("file:///C:/Users/anye forti/Desktop/2025 FALL/426 COSC/YOLO_TESTING/bbox-snapshots/frame07025_id22222.png", "frame07025_id22222.png")</f>
        <v/>
      </c>
    </row>
    <row r="1382">
      <c r="A1382" t="n">
        <v>7028</v>
      </c>
      <c r="B1382" t="n">
        <v>22257</v>
      </c>
      <c r="C1382" t="n">
        <v>18421</v>
      </c>
      <c r="D1382" t="n">
        <v>1</v>
      </c>
      <c r="E1382">
        <f>HYPERLINK("file:///C:/Users/anye forti/Desktop/2025 FALL/426 COSC/YOLO_TESTING/bbox-snapshots/frame07028_id22257.png", "frame07028_id22257.png")</f>
        <v/>
      </c>
    </row>
    <row r="1383">
      <c r="A1383" t="n">
        <v>7031</v>
      </c>
      <c r="B1383" t="n">
        <v>22287</v>
      </c>
      <c r="C1383" t="n">
        <v>20385</v>
      </c>
      <c r="D1383" t="n">
        <v>1</v>
      </c>
      <c r="E1383">
        <f>HYPERLINK("file:///C:/Users/anye forti/Desktop/2025 FALL/426 COSC/YOLO_TESTING/bbox-snapshots/frame07031_id22287.png", "frame07031_id22287.png")</f>
        <v/>
      </c>
    </row>
    <row r="1384">
      <c r="A1384" t="n">
        <v>7034</v>
      </c>
      <c r="B1384" t="n">
        <v>22319</v>
      </c>
      <c r="C1384" t="n">
        <v>13542</v>
      </c>
      <c r="D1384" t="n">
        <v>1</v>
      </c>
      <c r="E1384">
        <f>HYPERLINK("file:///C:/Users/anye forti/Desktop/2025 FALL/426 COSC/YOLO_TESTING/bbox-snapshots/frame07034_id22319.png", "frame07034_id22319.png")</f>
        <v/>
      </c>
    </row>
    <row r="1385">
      <c r="A1385" t="n">
        <v>7035</v>
      </c>
      <c r="B1385" t="n">
        <v>22239</v>
      </c>
      <c r="C1385" t="n">
        <v>11136</v>
      </c>
      <c r="D1385" t="n">
        <v>0</v>
      </c>
      <c r="E1385">
        <f>HYPERLINK("file:///C:/Users/anye forti/Desktop/2025 FALL/426 COSC/YOLO_TESTING/bbox-snapshots/frame07035_id22239.png", "frame07035_id22239.png")</f>
        <v/>
      </c>
    </row>
    <row r="1386">
      <c r="A1386" t="n">
        <v>7037</v>
      </c>
      <c r="B1386" t="n">
        <v>22258</v>
      </c>
      <c r="C1386" t="n">
        <v>38640</v>
      </c>
      <c r="D1386" t="n">
        <v>1</v>
      </c>
      <c r="E1386">
        <f>HYPERLINK("file:///C:/Users/anye forti/Desktop/2025 FALL/426 COSC/YOLO_TESTING/bbox-snapshots/frame07037_id22258.png", "frame07037_id22258.png")</f>
        <v/>
      </c>
    </row>
    <row r="1387">
      <c r="A1387" t="n">
        <v>7046</v>
      </c>
      <c r="B1387" t="n">
        <v>22312</v>
      </c>
      <c r="C1387" t="n">
        <v>48114</v>
      </c>
      <c r="D1387" t="n">
        <v>1</v>
      </c>
      <c r="E1387">
        <f>HYPERLINK("file:///C:/Users/anye forti/Desktop/2025 FALL/426 COSC/YOLO_TESTING/bbox-snapshots/frame07046_id22312.png", "frame07046_id22312.png")</f>
        <v/>
      </c>
    </row>
    <row r="1388">
      <c r="A1388" t="n">
        <v>7054</v>
      </c>
      <c r="B1388" t="n">
        <v>22247</v>
      </c>
      <c r="C1388" t="n">
        <v>35325</v>
      </c>
      <c r="D1388" t="n">
        <v>1</v>
      </c>
      <c r="E1388">
        <f>HYPERLINK("file:///C:/Users/anye forti/Desktop/2025 FALL/426 COSC/YOLO_TESTING/bbox-snapshots/frame07054_id22247.png", "frame07054_id22247.png")</f>
        <v/>
      </c>
    </row>
    <row r="1389">
      <c r="A1389" t="n">
        <v>7055</v>
      </c>
      <c r="B1389" t="n">
        <v>22339</v>
      </c>
      <c r="C1389" t="n">
        <v>38793</v>
      </c>
      <c r="D1389" t="n">
        <v>1</v>
      </c>
      <c r="E1389">
        <f>HYPERLINK("file:///C:/Users/anye forti/Desktop/2025 FALL/426 COSC/YOLO_TESTING/bbox-snapshots/frame07055_id22339.png", "frame07055_id22339.png")</f>
        <v/>
      </c>
    </row>
    <row r="1390">
      <c r="A1390" t="n">
        <v>7065</v>
      </c>
      <c r="B1390" t="n">
        <v>22388</v>
      </c>
      <c r="C1390" t="n">
        <v>41236</v>
      </c>
      <c r="D1390" t="n">
        <v>1</v>
      </c>
      <c r="E1390">
        <f>HYPERLINK("file:///C:/Users/anye forti/Desktop/2025 FALL/426 COSC/YOLO_TESTING/bbox-snapshots/frame07065_id22388.png", "frame07065_id22388.png")</f>
        <v/>
      </c>
    </row>
    <row r="1391">
      <c r="A1391" t="n">
        <v>7067</v>
      </c>
      <c r="B1391" t="n">
        <v>22404</v>
      </c>
      <c r="C1391" t="n">
        <v>44034</v>
      </c>
      <c r="D1391" t="n">
        <v>1</v>
      </c>
      <c r="E1391">
        <f>HYPERLINK("file:///C:/Users/anye forti/Desktop/2025 FALL/426 COSC/YOLO_TESTING/bbox-snapshots/frame07067_id22404.png", "frame07067_id22404.png")</f>
        <v/>
      </c>
    </row>
    <row r="1392">
      <c r="A1392" t="n">
        <v>7069</v>
      </c>
      <c r="B1392" t="n">
        <v>22390</v>
      </c>
      <c r="C1392" t="n">
        <v>38950</v>
      </c>
      <c r="D1392" t="n">
        <v>1</v>
      </c>
      <c r="E1392">
        <f>HYPERLINK("file:///C:/Users/anye forti/Desktop/2025 FALL/426 COSC/YOLO_TESTING/bbox-snapshots/frame07069_id22390.png", "frame07069_id22390.png")</f>
        <v/>
      </c>
    </row>
    <row r="1393">
      <c r="A1393" t="n">
        <v>7070</v>
      </c>
      <c r="B1393" t="n">
        <v>22510</v>
      </c>
      <c r="C1393" t="n">
        <v>14840</v>
      </c>
      <c r="D1393" t="n">
        <v>1</v>
      </c>
      <c r="E1393">
        <f>HYPERLINK("file:///C:/Users/anye forti/Desktop/2025 FALL/426 COSC/YOLO_TESTING/bbox-snapshots/frame07070_id22510.png", "frame07070_id22510.png")</f>
        <v/>
      </c>
    </row>
    <row r="1394">
      <c r="A1394" t="n">
        <v>7077</v>
      </c>
      <c r="B1394" t="n">
        <v>22466</v>
      </c>
      <c r="C1394" t="n">
        <v>37600</v>
      </c>
      <c r="D1394" t="n">
        <v>1</v>
      </c>
      <c r="E1394">
        <f>HYPERLINK("file:///C:/Users/anye forti/Desktop/2025 FALL/426 COSC/YOLO_TESTING/bbox-snapshots/frame07077_id22466.png", "frame07077_id22466.png")</f>
        <v/>
      </c>
    </row>
    <row r="1395">
      <c r="A1395" t="n">
        <v>7078</v>
      </c>
      <c r="B1395" t="n">
        <v>22491</v>
      </c>
      <c r="C1395" t="n">
        <v>52624</v>
      </c>
      <c r="D1395" t="n">
        <v>1</v>
      </c>
      <c r="E1395">
        <f>HYPERLINK("file:///C:/Users/anye forti/Desktop/2025 FALL/426 COSC/YOLO_TESTING/bbox-snapshots/frame07078_id22491.png", "frame07078_id22491.png")</f>
        <v/>
      </c>
    </row>
    <row r="1396">
      <c r="A1396" t="n">
        <v>7079</v>
      </c>
      <c r="B1396" t="n">
        <v>22578</v>
      </c>
      <c r="C1396" t="n">
        <v>29216</v>
      </c>
      <c r="D1396" t="n">
        <v>1</v>
      </c>
      <c r="E1396">
        <f>HYPERLINK("file:///C:/Users/anye forti/Desktop/2025 FALL/426 COSC/YOLO_TESTING/bbox-snapshots/frame07079_id22578.png", "frame07079_id22578.png")</f>
        <v/>
      </c>
    </row>
    <row r="1397">
      <c r="A1397" t="n">
        <v>7083</v>
      </c>
      <c r="B1397" t="n">
        <v>22461</v>
      </c>
      <c r="C1397" t="n">
        <v>41683</v>
      </c>
      <c r="D1397" t="n">
        <v>1</v>
      </c>
      <c r="E1397">
        <f>HYPERLINK("file:///C:/Users/anye forti/Desktop/2025 FALL/426 COSC/YOLO_TESTING/bbox-snapshots/frame07083_id22461.png", "frame07083_id22461.png")</f>
        <v/>
      </c>
    </row>
    <row r="1398">
      <c r="A1398" t="n">
        <v>7083</v>
      </c>
      <c r="B1398" t="n">
        <v>22575</v>
      </c>
      <c r="C1398" t="n">
        <v>42330</v>
      </c>
      <c r="D1398" t="n">
        <v>1</v>
      </c>
      <c r="E1398">
        <f>HYPERLINK("file:///C:/Users/anye forti/Desktop/2025 FALL/426 COSC/YOLO_TESTING/bbox-snapshots/frame07083_id22575.png", "frame07083_id22575.png")</f>
        <v/>
      </c>
    </row>
    <row r="1399">
      <c r="A1399" t="n">
        <v>7086</v>
      </c>
      <c r="B1399" t="n">
        <v>22520</v>
      </c>
      <c r="C1399" t="n">
        <v>37774</v>
      </c>
      <c r="D1399" t="n">
        <v>1</v>
      </c>
      <c r="E1399">
        <f>HYPERLINK("file:///C:/Users/anye forti/Desktop/2025 FALL/426 COSC/YOLO_TESTING/bbox-snapshots/frame07086_id22520.png", "frame07086_id22520.png")</f>
        <v/>
      </c>
    </row>
    <row r="1400">
      <c r="A1400" t="n">
        <v>7089</v>
      </c>
      <c r="B1400" t="n">
        <v>22534</v>
      </c>
      <c r="C1400" t="n">
        <v>25551</v>
      </c>
      <c r="D1400" t="n">
        <v>1</v>
      </c>
      <c r="E1400">
        <f>HYPERLINK("file:///C:/Users/anye forti/Desktop/2025 FALL/426 COSC/YOLO_TESTING/bbox-snapshots/frame07089_id22534.png", "frame07089_id22534.png")</f>
        <v/>
      </c>
    </row>
    <row r="1401">
      <c r="A1401" t="n">
        <v>7090</v>
      </c>
      <c r="B1401" t="n">
        <v>22531</v>
      </c>
      <c r="C1401" t="n">
        <v>26895</v>
      </c>
      <c r="D1401" t="n">
        <v>1</v>
      </c>
      <c r="E1401">
        <f>HYPERLINK("file:///C:/Users/anye forti/Desktop/2025 FALL/426 COSC/YOLO_TESTING/bbox-snapshots/frame07090_id22531.png", "frame07090_id22531.png")</f>
        <v/>
      </c>
    </row>
    <row r="1402">
      <c r="A1402" t="n">
        <v>7095</v>
      </c>
      <c r="B1402" t="n">
        <v>22736</v>
      </c>
      <c r="C1402" t="n">
        <v>16226</v>
      </c>
      <c r="D1402" t="n">
        <v>1</v>
      </c>
      <c r="E1402">
        <f>HYPERLINK("file:///C:/Users/anye forti/Desktop/2025 FALL/426 COSC/YOLO_TESTING/bbox-snapshots/frame07095_id22736.png", "frame07095_id22736.png")</f>
        <v/>
      </c>
    </row>
    <row r="1403">
      <c r="A1403" t="n">
        <v>7098</v>
      </c>
      <c r="B1403" t="n">
        <v>22432</v>
      </c>
      <c r="C1403" t="n">
        <v>37232</v>
      </c>
      <c r="D1403" t="n">
        <v>1</v>
      </c>
      <c r="E1403">
        <f>HYPERLINK("file:///C:/Users/anye forti/Desktop/2025 FALL/426 COSC/YOLO_TESTING/bbox-snapshots/frame07098_id22432.png", "frame07098_id22432.png")</f>
        <v/>
      </c>
    </row>
    <row r="1404">
      <c r="A1404" t="n">
        <v>7098</v>
      </c>
      <c r="B1404" t="n">
        <v>22514</v>
      </c>
      <c r="C1404" t="n">
        <v>29328</v>
      </c>
      <c r="D1404" t="n">
        <v>1</v>
      </c>
      <c r="E1404">
        <f>HYPERLINK("file:///C:/Users/anye forti/Desktop/2025 FALL/426 COSC/YOLO_TESTING/bbox-snapshots/frame07098_id22514.png", "frame07098_id22514.png")</f>
        <v/>
      </c>
    </row>
    <row r="1405">
      <c r="A1405" t="n">
        <v>7099</v>
      </c>
      <c r="B1405" t="n">
        <v>22597</v>
      </c>
      <c r="C1405" t="n">
        <v>24016</v>
      </c>
      <c r="D1405" t="n">
        <v>1</v>
      </c>
      <c r="E1405">
        <f>HYPERLINK("file:///C:/Users/anye forti/Desktop/2025 FALL/426 COSC/YOLO_TESTING/bbox-snapshots/frame07099_id22597.png", "frame07099_id22597.png")</f>
        <v/>
      </c>
    </row>
    <row r="1406">
      <c r="A1406" t="n">
        <v>7106</v>
      </c>
      <c r="B1406" t="n">
        <v>22626</v>
      </c>
      <c r="C1406" t="n">
        <v>25110</v>
      </c>
      <c r="D1406" t="n">
        <v>1</v>
      </c>
      <c r="E1406">
        <f>HYPERLINK("file:///C:/Users/anye forti/Desktop/2025 FALL/426 COSC/YOLO_TESTING/bbox-snapshots/frame07106_id22626.png", "frame07106_id22626.png")</f>
        <v/>
      </c>
    </row>
    <row r="1407">
      <c r="A1407" t="n">
        <v>7111</v>
      </c>
      <c r="B1407" t="n">
        <v>22460</v>
      </c>
      <c r="C1407" t="n">
        <v>50370</v>
      </c>
      <c r="D1407" t="n">
        <v>1</v>
      </c>
      <c r="E1407">
        <f>HYPERLINK("file:///C:/Users/anye forti/Desktop/2025 FALL/426 COSC/YOLO_TESTING/bbox-snapshots/frame07111_id22460.png", "frame07111_id22460.png")</f>
        <v/>
      </c>
    </row>
    <row r="1408">
      <c r="A1408" t="n">
        <v>7112</v>
      </c>
      <c r="B1408" t="n">
        <v>22713</v>
      </c>
      <c r="C1408" t="n">
        <v>46184</v>
      </c>
      <c r="D1408" t="n">
        <v>1</v>
      </c>
      <c r="E1408">
        <f>HYPERLINK("file:///C:/Users/anye forti/Desktop/2025 FALL/426 COSC/YOLO_TESTING/bbox-snapshots/frame07112_id22713.png", "frame07112_id22713.png")</f>
        <v/>
      </c>
    </row>
    <row r="1409">
      <c r="A1409" t="n">
        <v>7118</v>
      </c>
      <c r="B1409" t="n">
        <v>22766</v>
      </c>
      <c r="C1409" t="n">
        <v>25748</v>
      </c>
      <c r="D1409" t="n">
        <v>1</v>
      </c>
      <c r="E1409">
        <f>HYPERLINK("file:///C:/Users/anye forti/Desktop/2025 FALL/426 COSC/YOLO_TESTING/bbox-snapshots/frame07118_id22766.png", "frame07118_id22766.png")</f>
        <v/>
      </c>
    </row>
    <row r="1410">
      <c r="A1410" t="n">
        <v>7118</v>
      </c>
      <c r="B1410" t="n">
        <v>22838</v>
      </c>
      <c r="C1410" t="n">
        <v>17112</v>
      </c>
      <c r="D1410" t="n">
        <v>1</v>
      </c>
      <c r="E1410">
        <f>HYPERLINK("file:///C:/Users/anye forti/Desktop/2025 FALL/426 COSC/YOLO_TESTING/bbox-snapshots/frame07118_id22838.png", "frame07118_id22838.png")</f>
        <v/>
      </c>
    </row>
    <row r="1411">
      <c r="A1411" t="n">
        <v>7120</v>
      </c>
      <c r="B1411" t="n">
        <v>22873</v>
      </c>
      <c r="C1411" t="n">
        <v>38934</v>
      </c>
      <c r="D1411" t="n">
        <v>1</v>
      </c>
      <c r="E1411">
        <f>HYPERLINK("file:///C:/Users/anye forti/Desktop/2025 FALL/426 COSC/YOLO_TESTING/bbox-snapshots/frame07120_id22873.png", "frame07120_id22873.png")</f>
        <v/>
      </c>
    </row>
    <row r="1412">
      <c r="A1412" t="n">
        <v>7124</v>
      </c>
      <c r="B1412" t="n">
        <v>22800</v>
      </c>
      <c r="C1412" t="n">
        <v>35659</v>
      </c>
      <c r="D1412" t="n">
        <v>1</v>
      </c>
      <c r="E1412">
        <f>HYPERLINK("file:///C:/Users/anye forti/Desktop/2025 FALL/426 COSC/YOLO_TESTING/bbox-snapshots/frame07124_id22800.png", "frame07124_id22800.png")</f>
        <v/>
      </c>
    </row>
    <row r="1413">
      <c r="A1413" t="n">
        <v>7128</v>
      </c>
      <c r="B1413" t="n">
        <v>22828</v>
      </c>
      <c r="C1413" t="n">
        <v>44270</v>
      </c>
      <c r="D1413" t="n">
        <v>1</v>
      </c>
      <c r="E1413">
        <f>HYPERLINK("file:///C:/Users/anye forti/Desktop/2025 FALL/426 COSC/YOLO_TESTING/bbox-snapshots/frame07128_id22828.png", "frame07128_id22828.png")</f>
        <v/>
      </c>
    </row>
    <row r="1414">
      <c r="A1414" t="n">
        <v>7150</v>
      </c>
      <c r="B1414" t="n">
        <v>22929</v>
      </c>
      <c r="C1414" t="n">
        <v>72541</v>
      </c>
      <c r="D1414" t="n">
        <v>2</v>
      </c>
      <c r="E1414">
        <f>HYPERLINK("file:///C:/Users/anye forti/Desktop/2025 FALL/426 COSC/YOLO_TESTING/bbox-snapshots/frame07150_id22929.png", "frame07150_id22929.png")</f>
        <v/>
      </c>
    </row>
    <row r="1415">
      <c r="A1415" t="n">
        <v>7160</v>
      </c>
      <c r="B1415" t="n">
        <v>22699</v>
      </c>
      <c r="C1415" t="n">
        <v>42784</v>
      </c>
      <c r="D1415" t="n">
        <v>1</v>
      </c>
      <c r="E1415">
        <f>HYPERLINK("file:///C:/Users/anye forti/Desktop/2025 FALL/426 COSC/YOLO_TESTING/bbox-snapshots/frame07160_id22699.png", "frame07160_id22699.png")</f>
        <v/>
      </c>
    </row>
    <row r="1416">
      <c r="A1416" t="n">
        <v>7164</v>
      </c>
      <c r="B1416" t="n">
        <v>22952</v>
      </c>
      <c r="C1416" t="n">
        <v>60088</v>
      </c>
      <c r="D1416" t="n">
        <v>2</v>
      </c>
      <c r="E1416">
        <f>HYPERLINK("file:///C:/Users/anye forti/Desktop/2025 FALL/426 COSC/YOLO_TESTING/bbox-snapshots/frame07164_id22952.png", "frame07164_id22952.png")</f>
        <v/>
      </c>
    </row>
    <row r="1417">
      <c r="A1417" t="n">
        <v>7172</v>
      </c>
      <c r="B1417" t="n">
        <v>22979</v>
      </c>
      <c r="C1417" t="n">
        <v>38272</v>
      </c>
      <c r="D1417" t="n">
        <v>1</v>
      </c>
      <c r="E1417">
        <f>HYPERLINK("file:///C:/Users/anye forti/Desktop/2025 FALL/426 COSC/YOLO_TESTING/bbox-snapshots/frame07172_id22979.png", "frame07172_id22979.png")</f>
        <v/>
      </c>
    </row>
    <row r="1418">
      <c r="A1418" t="n">
        <v>7178</v>
      </c>
      <c r="B1418" t="n">
        <v>22985</v>
      </c>
      <c r="C1418" t="n">
        <v>42826</v>
      </c>
      <c r="D1418" t="n">
        <v>1</v>
      </c>
      <c r="E1418">
        <f>HYPERLINK("file:///C:/Users/anye forti/Desktop/2025 FALL/426 COSC/YOLO_TESTING/bbox-snapshots/frame07178_id22985.png", "frame07178_id22985.png")</f>
        <v/>
      </c>
    </row>
    <row r="1419">
      <c r="A1419" t="n">
        <v>7186</v>
      </c>
      <c r="B1419" t="n">
        <v>23000</v>
      </c>
      <c r="C1419" t="n">
        <v>37024</v>
      </c>
      <c r="D1419" t="n">
        <v>1</v>
      </c>
      <c r="E1419">
        <f>HYPERLINK("file:///C:/Users/anye forti/Desktop/2025 FALL/426 COSC/YOLO_TESTING/bbox-snapshots/frame07186_id23000.png", "frame07186_id23000.png")</f>
        <v/>
      </c>
    </row>
    <row r="1420">
      <c r="A1420" t="n">
        <v>7201</v>
      </c>
      <c r="B1420" t="n">
        <v>23048</v>
      </c>
      <c r="C1420" t="n">
        <v>49000</v>
      </c>
      <c r="D1420" t="n">
        <v>1</v>
      </c>
      <c r="E1420">
        <f>HYPERLINK("file:///C:/Users/anye forti/Desktop/2025 FALL/426 COSC/YOLO_TESTING/bbox-snapshots/frame07201_id23048.png", "frame07201_id23048.png")</f>
        <v/>
      </c>
    </row>
    <row r="1421">
      <c r="A1421" t="n">
        <v>7203</v>
      </c>
      <c r="B1421" t="n">
        <v>23060</v>
      </c>
      <c r="C1421" t="n">
        <v>34608</v>
      </c>
      <c r="D1421" t="n">
        <v>1</v>
      </c>
      <c r="E1421">
        <f>HYPERLINK("file:///C:/Users/anye forti/Desktop/2025 FALL/426 COSC/YOLO_TESTING/bbox-snapshots/frame07203_id23060.png", "frame07203_id23060.png")</f>
        <v/>
      </c>
    </row>
    <row r="1422">
      <c r="A1422" t="n">
        <v>7205</v>
      </c>
      <c r="B1422" t="n">
        <v>23053</v>
      </c>
      <c r="C1422" t="n">
        <v>51216</v>
      </c>
      <c r="D1422" t="n">
        <v>1</v>
      </c>
      <c r="E1422">
        <f>HYPERLINK("file:///C:/Users/anye forti/Desktop/2025 FALL/426 COSC/YOLO_TESTING/bbox-snapshots/frame07205_id23053.png", "frame07205_id23053.png")</f>
        <v/>
      </c>
    </row>
    <row r="1423">
      <c r="A1423" t="n">
        <v>7213</v>
      </c>
      <c r="B1423" t="n">
        <v>23071</v>
      </c>
      <c r="C1423" t="n">
        <v>35720</v>
      </c>
      <c r="D1423" t="n">
        <v>1</v>
      </c>
      <c r="E1423">
        <f>HYPERLINK("file:///C:/Users/anye forti/Desktop/2025 FALL/426 COSC/YOLO_TESTING/bbox-snapshots/frame07213_id23071.png", "frame07213_id23071.png")</f>
        <v/>
      </c>
    </row>
    <row r="1424">
      <c r="A1424" t="n">
        <v>7214</v>
      </c>
      <c r="B1424" t="n">
        <v>23072</v>
      </c>
      <c r="C1424" t="n">
        <v>40898</v>
      </c>
      <c r="D1424" t="n">
        <v>1</v>
      </c>
      <c r="E1424">
        <f>HYPERLINK("file:///C:/Users/anye forti/Desktop/2025 FALL/426 COSC/YOLO_TESTING/bbox-snapshots/frame07214_id23072.png", "frame07214_id23072.png")</f>
        <v/>
      </c>
    </row>
    <row r="1425">
      <c r="A1425" t="n">
        <v>7223</v>
      </c>
      <c r="B1425" t="n">
        <v>23085</v>
      </c>
      <c r="C1425" t="n">
        <v>36408</v>
      </c>
      <c r="D1425" t="n">
        <v>1</v>
      </c>
      <c r="E1425">
        <f>HYPERLINK("file:///C:/Users/anye forti/Desktop/2025 FALL/426 COSC/YOLO_TESTING/bbox-snapshots/frame07223_id23085.png", "frame07223_id23085.png")</f>
        <v/>
      </c>
    </row>
    <row r="1426">
      <c r="A1426" t="n">
        <v>7223</v>
      </c>
      <c r="B1426" t="n">
        <v>22841</v>
      </c>
      <c r="C1426" t="n">
        <v>53360</v>
      </c>
      <c r="D1426" t="n">
        <v>1</v>
      </c>
      <c r="E1426">
        <f>HYPERLINK("file:///C:/Users/anye forti/Desktop/2025 FALL/426 COSC/YOLO_TESTING/bbox-snapshots/frame07223_id22841.png", "frame07223_id22841.png")</f>
        <v/>
      </c>
    </row>
    <row r="1427">
      <c r="A1427" t="n">
        <v>7227</v>
      </c>
      <c r="B1427" t="n">
        <v>23136</v>
      </c>
      <c r="C1427" t="n">
        <v>29412</v>
      </c>
      <c r="D1427" t="n">
        <v>1</v>
      </c>
      <c r="E1427">
        <f>HYPERLINK("file:///C:/Users/anye forti/Desktop/2025 FALL/426 COSC/YOLO_TESTING/bbox-snapshots/frame07227_id23136.png", "frame07227_id23136.png")</f>
        <v/>
      </c>
    </row>
    <row r="1428">
      <c r="A1428" t="n">
        <v>7235</v>
      </c>
      <c r="B1428" t="n">
        <v>23104</v>
      </c>
      <c r="C1428" t="n">
        <v>41958</v>
      </c>
      <c r="D1428" t="n">
        <v>1</v>
      </c>
      <c r="E1428">
        <f>HYPERLINK("file:///C:/Users/anye forti/Desktop/2025 FALL/426 COSC/YOLO_TESTING/bbox-snapshots/frame07235_id23104.png", "frame07235_id23104.png")</f>
        <v/>
      </c>
    </row>
    <row r="1429">
      <c r="A1429" t="n">
        <v>7242</v>
      </c>
      <c r="B1429" t="n">
        <v>23131</v>
      </c>
      <c r="C1429" t="n">
        <v>49914</v>
      </c>
      <c r="D1429" t="n">
        <v>1</v>
      </c>
      <c r="E1429">
        <f>HYPERLINK("file:///C:/Users/anye forti/Desktop/2025 FALL/426 COSC/YOLO_TESTING/bbox-snapshots/frame07242_id23131.png", "frame07242_id23131.png")</f>
        <v/>
      </c>
    </row>
    <row r="1430">
      <c r="A1430" t="n">
        <v>7253</v>
      </c>
      <c r="B1430" t="n">
        <v>23161</v>
      </c>
      <c r="C1430" t="n">
        <v>37620</v>
      </c>
      <c r="D1430" t="n">
        <v>1</v>
      </c>
      <c r="E1430">
        <f>HYPERLINK("file:///C:/Users/anye forti/Desktop/2025 FALL/426 COSC/YOLO_TESTING/bbox-snapshots/frame07253_id23161.png", "frame07253_id23161.png")</f>
        <v/>
      </c>
    </row>
    <row r="1431">
      <c r="A1431" t="n">
        <v>7255</v>
      </c>
      <c r="B1431" t="n">
        <v>23162</v>
      </c>
      <c r="C1431" t="n">
        <v>38106</v>
      </c>
      <c r="D1431" t="n">
        <v>1</v>
      </c>
      <c r="E1431">
        <f>HYPERLINK("file:///C:/Users/anye forti/Desktop/2025 FALL/426 COSC/YOLO_TESTING/bbox-snapshots/frame07255_id23162.png", "frame07255_id23162.png")</f>
        <v/>
      </c>
    </row>
    <row r="1432">
      <c r="A1432" t="n">
        <v>7258</v>
      </c>
      <c r="B1432" t="n">
        <v>23168</v>
      </c>
      <c r="C1432" t="n">
        <v>34122</v>
      </c>
      <c r="D1432" t="n">
        <v>1</v>
      </c>
      <c r="E1432">
        <f>HYPERLINK("file:///C:/Users/anye forti/Desktop/2025 FALL/426 COSC/YOLO_TESTING/bbox-snapshots/frame07258_id23168.png", "frame07258_id23168.png")</f>
        <v/>
      </c>
    </row>
    <row r="1433">
      <c r="A1433" t="n">
        <v>7262</v>
      </c>
      <c r="B1433" t="n">
        <v>23192</v>
      </c>
      <c r="C1433" t="n">
        <v>41055</v>
      </c>
      <c r="D1433" t="n">
        <v>1</v>
      </c>
      <c r="E1433">
        <f>HYPERLINK("file:///C:/Users/anye forti/Desktop/2025 FALL/426 COSC/YOLO_TESTING/bbox-snapshots/frame07262_id23192.png", "frame07262_id23192.png")</f>
        <v/>
      </c>
    </row>
    <row r="1434">
      <c r="A1434" t="n">
        <v>7265</v>
      </c>
      <c r="B1434" t="n">
        <v>23208</v>
      </c>
      <c r="C1434" t="n">
        <v>29896</v>
      </c>
      <c r="D1434" t="n">
        <v>1</v>
      </c>
      <c r="E1434">
        <f>HYPERLINK("file:///C:/Users/anye forti/Desktop/2025 FALL/426 COSC/YOLO_TESTING/bbox-snapshots/frame07265_id23208.png", "frame07265_id23208.png")</f>
        <v/>
      </c>
    </row>
    <row r="1435">
      <c r="A1435" t="n">
        <v>7271</v>
      </c>
      <c r="B1435" t="n">
        <v>23236</v>
      </c>
      <c r="C1435" t="n">
        <v>34200</v>
      </c>
      <c r="D1435" t="n">
        <v>1</v>
      </c>
      <c r="E1435">
        <f>HYPERLINK("file:///C:/Users/anye forti/Desktop/2025 FALL/426 COSC/YOLO_TESTING/bbox-snapshots/frame07271_id23236.png", "frame07271_id23236.png")</f>
        <v/>
      </c>
    </row>
    <row r="1436">
      <c r="A1436" t="n">
        <v>7273</v>
      </c>
      <c r="B1436" t="n">
        <v>23269</v>
      </c>
      <c r="C1436" t="n">
        <v>35680</v>
      </c>
      <c r="D1436" t="n">
        <v>1</v>
      </c>
      <c r="E1436">
        <f>HYPERLINK("file:///C:/Users/anye forti/Desktop/2025 FALL/426 COSC/YOLO_TESTING/bbox-snapshots/frame07273_id23269.png", "frame07273_id23269.png")</f>
        <v/>
      </c>
    </row>
    <row r="1437">
      <c r="A1437" t="n">
        <v>7279</v>
      </c>
      <c r="B1437" t="n">
        <v>23230</v>
      </c>
      <c r="C1437" t="n">
        <v>51035</v>
      </c>
      <c r="D1437" t="n">
        <v>1</v>
      </c>
      <c r="E1437">
        <f>HYPERLINK("file:///C:/Users/anye forti/Desktop/2025 FALL/426 COSC/YOLO_TESTING/bbox-snapshots/frame07279_id23230.png", "frame07279_id23230.png")</f>
        <v/>
      </c>
    </row>
    <row r="1438">
      <c r="A1438" t="n">
        <v>7284</v>
      </c>
      <c r="B1438" t="n">
        <v>23262</v>
      </c>
      <c r="C1438" t="n">
        <v>45864</v>
      </c>
      <c r="D1438" t="n">
        <v>1</v>
      </c>
      <c r="E1438">
        <f>HYPERLINK("file:///C:/Users/anye forti/Desktop/2025 FALL/426 COSC/YOLO_TESTING/bbox-snapshots/frame07284_id23262.png", "frame07284_id23262.png")</f>
        <v/>
      </c>
    </row>
    <row r="1439">
      <c r="A1439" t="n">
        <v>7291</v>
      </c>
      <c r="B1439" t="n">
        <v>23290</v>
      </c>
      <c r="C1439" t="n">
        <v>28417</v>
      </c>
      <c r="D1439" t="n">
        <v>1</v>
      </c>
      <c r="E1439">
        <f>HYPERLINK("file:///C:/Users/anye forti/Desktop/2025 FALL/426 COSC/YOLO_TESTING/bbox-snapshots/frame07291_id23290.png", "frame07291_id23290.png")</f>
        <v/>
      </c>
    </row>
    <row r="1440">
      <c r="A1440" t="n">
        <v>7302</v>
      </c>
      <c r="B1440" t="n">
        <v>23322</v>
      </c>
      <c r="C1440" t="n">
        <v>52560</v>
      </c>
      <c r="D1440" t="n">
        <v>1</v>
      </c>
      <c r="E1440">
        <f>HYPERLINK("file:///C:/Users/anye forti/Desktop/2025 FALL/426 COSC/YOLO_TESTING/bbox-snapshots/frame07302_id23322.png", "frame07302_id23322.png")</f>
        <v/>
      </c>
    </row>
    <row r="1441">
      <c r="A1441" t="n">
        <v>7307</v>
      </c>
      <c r="B1441" t="n">
        <v>23362</v>
      </c>
      <c r="C1441" t="n">
        <v>56416</v>
      </c>
      <c r="D1441" t="n">
        <v>1</v>
      </c>
      <c r="E1441">
        <f>HYPERLINK("file:///C:/Users/anye forti/Desktop/2025 FALL/426 COSC/YOLO_TESTING/bbox-snapshots/frame07307_id23362.png", "frame07307_id23362.png")</f>
        <v/>
      </c>
    </row>
    <row r="1442">
      <c r="A1442" t="n">
        <v>7309</v>
      </c>
      <c r="B1442" t="n">
        <v>23339</v>
      </c>
      <c r="C1442" t="n">
        <v>53738</v>
      </c>
      <c r="D1442" t="n">
        <v>1</v>
      </c>
      <c r="E1442">
        <f>HYPERLINK("file:///C:/Users/anye forti/Desktop/2025 FALL/426 COSC/YOLO_TESTING/bbox-snapshots/frame07309_id23339.png", "frame07309_id23339.png")</f>
        <v/>
      </c>
    </row>
    <row r="1443">
      <c r="A1443" t="n">
        <v>7319</v>
      </c>
      <c r="B1443" t="n">
        <v>23369</v>
      </c>
      <c r="C1443" t="n">
        <v>33696</v>
      </c>
      <c r="D1443" t="n">
        <v>1</v>
      </c>
      <c r="E1443">
        <f>HYPERLINK("file:///C:/Users/anye forti/Desktop/2025 FALL/426 COSC/YOLO_TESTING/bbox-snapshots/frame07319_id23369.png", "frame07319_id23369.png")</f>
        <v/>
      </c>
    </row>
    <row r="1444">
      <c r="A1444" t="n">
        <v>7327</v>
      </c>
      <c r="B1444" t="n">
        <v>23373</v>
      </c>
      <c r="C1444" t="n">
        <v>60720</v>
      </c>
      <c r="D1444" t="n">
        <v>2</v>
      </c>
      <c r="E1444">
        <f>HYPERLINK("file:///C:/Users/anye forti/Desktop/2025 FALL/426 COSC/YOLO_TESTING/bbox-snapshots/frame07327_id23373.png", "frame07327_id23373.png")</f>
        <v/>
      </c>
    </row>
    <row r="1445">
      <c r="A1445" t="n">
        <v>7332</v>
      </c>
      <c r="B1445" t="n">
        <v>23378</v>
      </c>
      <c r="C1445" t="n">
        <v>76818</v>
      </c>
      <c r="D1445" t="n">
        <v>2</v>
      </c>
      <c r="E1445">
        <f>HYPERLINK("file:///C:/Users/anye forti/Desktop/2025 FALL/426 COSC/YOLO_TESTING/bbox-snapshots/frame07332_id23378.png", "frame07332_id23378.png")</f>
        <v/>
      </c>
    </row>
    <row r="1446">
      <c r="A1446" t="n">
        <v>7333</v>
      </c>
      <c r="B1446" t="n">
        <v>23451</v>
      </c>
      <c r="C1446" t="n">
        <v>14448</v>
      </c>
      <c r="D1446" t="n">
        <v>1</v>
      </c>
      <c r="E1446">
        <f>HYPERLINK("file:///C:/Users/anye forti/Desktop/2025 FALL/426 COSC/YOLO_TESTING/bbox-snapshots/frame07333_id23451.png", "frame07333_id23451.png")</f>
        <v/>
      </c>
    </row>
    <row r="1447">
      <c r="A1447" t="n">
        <v>7342</v>
      </c>
      <c r="B1447" t="n">
        <v>23359</v>
      </c>
      <c r="C1447" t="n">
        <v>40934</v>
      </c>
      <c r="D1447" t="n">
        <v>1</v>
      </c>
      <c r="E1447">
        <f>HYPERLINK("file:///C:/Users/anye forti/Desktop/2025 FALL/426 COSC/YOLO_TESTING/bbox-snapshots/frame07342_id23359.png", "frame07342_id23359.png")</f>
        <v/>
      </c>
    </row>
    <row r="1448">
      <c r="A1448" t="n">
        <v>7355</v>
      </c>
      <c r="B1448" t="n">
        <v>23467</v>
      </c>
      <c r="C1448" t="n">
        <v>47885</v>
      </c>
      <c r="D1448" t="n">
        <v>1</v>
      </c>
      <c r="E1448">
        <f>HYPERLINK("file:///C:/Users/anye forti/Desktop/2025 FALL/426 COSC/YOLO_TESTING/bbox-snapshots/frame07355_id23467.png", "frame07355_id23467.png")</f>
        <v/>
      </c>
    </row>
    <row r="1449">
      <c r="A1449" t="n">
        <v>7356</v>
      </c>
      <c r="B1449" t="n">
        <v>23461</v>
      </c>
      <c r="C1449" t="n">
        <v>54500</v>
      </c>
      <c r="D1449" t="n">
        <v>1</v>
      </c>
      <c r="E1449">
        <f>HYPERLINK("file:///C:/Users/anye forti/Desktop/2025 FALL/426 COSC/YOLO_TESTING/bbox-snapshots/frame07356_id23461.png", "frame07356_id23461.png")</f>
        <v/>
      </c>
    </row>
    <row r="1450">
      <c r="A1450" t="n">
        <v>7357</v>
      </c>
      <c r="B1450" t="n">
        <v>23469</v>
      </c>
      <c r="C1450" t="n">
        <v>37960</v>
      </c>
      <c r="D1450" t="n">
        <v>1</v>
      </c>
      <c r="E1450">
        <f>HYPERLINK("file:///C:/Users/anye forti/Desktop/2025 FALL/426 COSC/YOLO_TESTING/bbox-snapshots/frame07357_id23469.png", "frame07357_id23469.png")</f>
        <v/>
      </c>
    </row>
    <row r="1451">
      <c r="A1451" t="n">
        <v>7362</v>
      </c>
      <c r="B1451" t="n">
        <v>23524</v>
      </c>
      <c r="C1451" t="n">
        <v>54400</v>
      </c>
      <c r="D1451" t="n">
        <v>1</v>
      </c>
      <c r="E1451">
        <f>HYPERLINK("file:///C:/Users/anye forti/Desktop/2025 FALL/426 COSC/YOLO_TESTING/bbox-snapshots/frame07362_id23524.png", "frame07362_id23524.png")</f>
        <v/>
      </c>
    </row>
    <row r="1452">
      <c r="A1452" t="n">
        <v>7366</v>
      </c>
      <c r="B1452" t="n">
        <v>23489</v>
      </c>
      <c r="C1452" t="n">
        <v>65151</v>
      </c>
      <c r="D1452" t="n">
        <v>2</v>
      </c>
      <c r="E1452">
        <f>HYPERLINK("file:///C:/Users/anye forti/Desktop/2025 FALL/426 COSC/YOLO_TESTING/bbox-snapshots/frame07366_id23489.png", "frame07366_id23489.png")</f>
        <v/>
      </c>
    </row>
    <row r="1453">
      <c r="A1453" t="n">
        <v>7387</v>
      </c>
      <c r="B1453" t="n">
        <v>23537</v>
      </c>
      <c r="C1453" t="n">
        <v>44436</v>
      </c>
      <c r="D1453" t="n">
        <v>1</v>
      </c>
      <c r="E1453">
        <f>HYPERLINK("file:///C:/Users/anye forti/Desktop/2025 FALL/426 COSC/YOLO_TESTING/bbox-snapshots/frame07387_id23537.png", "frame07387_id23537.png")</f>
        <v/>
      </c>
    </row>
    <row r="1454">
      <c r="A1454" t="n">
        <v>7395</v>
      </c>
      <c r="B1454" t="n">
        <v>23573</v>
      </c>
      <c r="C1454" t="n">
        <v>76998</v>
      </c>
      <c r="D1454" t="n">
        <v>2</v>
      </c>
      <c r="E1454">
        <f>HYPERLINK("file:///C:/Users/anye forti/Desktop/2025 FALL/426 COSC/YOLO_TESTING/bbox-snapshots/frame07395_id23573.png", "frame07395_id23573.png")</f>
        <v/>
      </c>
    </row>
    <row r="1455">
      <c r="A1455" t="n">
        <v>7397</v>
      </c>
      <c r="B1455" t="n">
        <v>23563</v>
      </c>
      <c r="C1455" t="n">
        <v>31950</v>
      </c>
      <c r="D1455" t="n">
        <v>1</v>
      </c>
      <c r="E1455">
        <f>HYPERLINK("file:///C:/Users/anye forti/Desktop/2025 FALL/426 COSC/YOLO_TESTING/bbox-snapshots/frame07397_id23563.png", "frame07397_id23563.png")</f>
        <v/>
      </c>
    </row>
    <row r="1456">
      <c r="A1456" t="n">
        <v>7398</v>
      </c>
      <c r="B1456" t="n">
        <v>23589</v>
      </c>
      <c r="C1456" t="n">
        <v>36062</v>
      </c>
      <c r="D1456" t="n">
        <v>1</v>
      </c>
      <c r="E1456">
        <f>HYPERLINK("file:///C:/Users/anye forti/Desktop/2025 FALL/426 COSC/YOLO_TESTING/bbox-snapshots/frame07398_id23589.png", "frame07398_id23589.png")</f>
        <v/>
      </c>
    </row>
    <row r="1457">
      <c r="A1457" t="n">
        <v>7413</v>
      </c>
      <c r="B1457" t="n">
        <v>23617</v>
      </c>
      <c r="C1457" t="n">
        <v>20250</v>
      </c>
      <c r="D1457" t="n">
        <v>1</v>
      </c>
      <c r="E1457">
        <f>HYPERLINK("file:///C:/Users/anye forti/Desktop/2025 FALL/426 COSC/YOLO_TESTING/bbox-snapshots/frame07413_id23617.png", "frame07413_id23617.png")</f>
        <v/>
      </c>
    </row>
    <row r="1458">
      <c r="A1458" t="n">
        <v>7417</v>
      </c>
      <c r="B1458" t="n">
        <v>23603</v>
      </c>
      <c r="C1458" t="n">
        <v>85407</v>
      </c>
      <c r="D1458" t="n">
        <v>2</v>
      </c>
      <c r="E1458">
        <f>HYPERLINK("file:///C:/Users/anye forti/Desktop/2025 FALL/426 COSC/YOLO_TESTING/bbox-snapshots/frame07417_id23603.png", "frame07417_id23603.png")</f>
        <v/>
      </c>
    </row>
    <row r="1459">
      <c r="A1459" t="n">
        <v>7424</v>
      </c>
      <c r="B1459" t="n">
        <v>23636</v>
      </c>
      <c r="C1459" t="n">
        <v>72048</v>
      </c>
      <c r="D1459" t="n">
        <v>2</v>
      </c>
      <c r="E1459">
        <f>HYPERLINK("file:///C:/Users/anye forti/Desktop/2025 FALL/426 COSC/YOLO_TESTING/bbox-snapshots/frame07424_id23636.png", "frame07424_id23636.png")</f>
        <v/>
      </c>
    </row>
    <row r="1460">
      <c r="A1460" t="n">
        <v>7425</v>
      </c>
      <c r="B1460" t="n">
        <v>23657</v>
      </c>
      <c r="C1460" t="n">
        <v>52459</v>
      </c>
      <c r="D1460" t="n">
        <v>1</v>
      </c>
      <c r="E1460">
        <f>HYPERLINK("file:///C:/Users/anye forti/Desktop/2025 FALL/426 COSC/YOLO_TESTING/bbox-snapshots/frame07425_id23657.png", "frame07425_id23657.png")</f>
        <v/>
      </c>
    </row>
    <row r="1461">
      <c r="A1461" t="n">
        <v>7430</v>
      </c>
      <c r="B1461" t="n">
        <v>23740</v>
      </c>
      <c r="C1461" t="n">
        <v>20790</v>
      </c>
      <c r="D1461" t="n">
        <v>1</v>
      </c>
      <c r="E1461">
        <f>HYPERLINK("file:///C:/Users/anye forti/Desktop/2025 FALL/426 COSC/YOLO_TESTING/bbox-snapshots/frame07430_id23740.png", "frame07430_id23740.png")</f>
        <v/>
      </c>
    </row>
    <row r="1462">
      <c r="A1462" t="n">
        <v>7433</v>
      </c>
      <c r="B1462" t="n">
        <v>23675</v>
      </c>
      <c r="C1462" t="n">
        <v>15368</v>
      </c>
      <c r="D1462" t="n">
        <v>1</v>
      </c>
      <c r="E1462">
        <f>HYPERLINK("file:///C:/Users/anye forti/Desktop/2025 FALL/426 COSC/YOLO_TESTING/bbox-snapshots/frame07433_id23675.png", "frame07433_id23675.png")</f>
        <v/>
      </c>
    </row>
    <row r="1463">
      <c r="A1463" t="n">
        <v>7434</v>
      </c>
      <c r="B1463" t="n">
        <v>23700</v>
      </c>
      <c r="C1463" t="n">
        <v>56256</v>
      </c>
      <c r="D1463" t="n">
        <v>1</v>
      </c>
      <c r="E1463">
        <f>HYPERLINK("file:///C:/Users/anye forti/Desktop/2025 FALL/426 COSC/YOLO_TESTING/bbox-snapshots/frame07434_id23700.png", "frame07434_id23700.png")</f>
        <v/>
      </c>
    </row>
    <row r="1464">
      <c r="A1464" t="n">
        <v>7436</v>
      </c>
      <c r="B1464" t="n">
        <v>23698</v>
      </c>
      <c r="C1464" t="n">
        <v>48392</v>
      </c>
      <c r="D1464" t="n">
        <v>1</v>
      </c>
      <c r="E1464">
        <f>HYPERLINK("file:///C:/Users/anye forti/Desktop/2025 FALL/426 COSC/YOLO_TESTING/bbox-snapshots/frame07436_id23698.png", "frame07436_id23698.png")</f>
        <v/>
      </c>
    </row>
    <row r="1465">
      <c r="A1465" t="n">
        <v>7438</v>
      </c>
      <c r="B1465" t="n">
        <v>23717</v>
      </c>
      <c r="C1465" t="n">
        <v>49896</v>
      </c>
      <c r="D1465" t="n">
        <v>1</v>
      </c>
      <c r="E1465">
        <f>HYPERLINK("file:///C:/Users/anye forti/Desktop/2025 FALL/426 COSC/YOLO_TESTING/bbox-snapshots/frame07438_id23717.png", "frame07438_id23717.png")</f>
        <v/>
      </c>
    </row>
    <row r="1466">
      <c r="A1466" t="n">
        <v>7446</v>
      </c>
      <c r="B1466" t="n">
        <v>23788</v>
      </c>
      <c r="C1466" t="n">
        <v>38367</v>
      </c>
      <c r="D1466" t="n">
        <v>1</v>
      </c>
      <c r="E1466">
        <f>HYPERLINK("file:///C:/Users/anye forti/Desktop/2025 FALL/426 COSC/YOLO_TESTING/bbox-snapshots/frame07446_id23788.png", "frame07446_id23788.png")</f>
        <v/>
      </c>
    </row>
    <row r="1467">
      <c r="A1467" t="n">
        <v>7449</v>
      </c>
      <c r="B1467" t="n">
        <v>23810</v>
      </c>
      <c r="C1467" t="n">
        <v>42470</v>
      </c>
      <c r="D1467" t="n">
        <v>1</v>
      </c>
      <c r="E1467">
        <f>HYPERLINK("file:///C:/Users/anye forti/Desktop/2025 FALL/426 COSC/YOLO_TESTING/bbox-snapshots/frame07449_id23810.png", "frame07449_id23810.png")</f>
        <v/>
      </c>
    </row>
    <row r="1468">
      <c r="A1468" t="n">
        <v>7450</v>
      </c>
      <c r="B1468" t="n">
        <v>23741</v>
      </c>
      <c r="C1468" t="n">
        <v>48830</v>
      </c>
      <c r="D1468" t="n">
        <v>1</v>
      </c>
      <c r="E1468">
        <f>HYPERLINK("file:///C:/Users/anye forti/Desktop/2025 FALL/426 COSC/YOLO_TESTING/bbox-snapshots/frame07450_id23741.png", "frame07450_id23741.png")</f>
        <v/>
      </c>
    </row>
    <row r="1469">
      <c r="A1469" t="n">
        <v>7454</v>
      </c>
      <c r="B1469" t="n">
        <v>23766</v>
      </c>
      <c r="C1469" t="n">
        <v>44616</v>
      </c>
      <c r="D1469" t="n">
        <v>1</v>
      </c>
      <c r="E1469">
        <f>HYPERLINK("file:///C:/Users/anye forti/Desktop/2025 FALL/426 COSC/YOLO_TESTING/bbox-snapshots/frame07454_id23766.png", "frame07454_id23766.png")</f>
        <v/>
      </c>
    </row>
    <row r="1470">
      <c r="A1470" t="n">
        <v>7455</v>
      </c>
      <c r="B1470" t="n">
        <v>23786</v>
      </c>
      <c r="C1470" t="n">
        <v>20447</v>
      </c>
      <c r="D1470" t="n">
        <v>1</v>
      </c>
      <c r="E1470">
        <f>HYPERLINK("file:///C:/Users/anye forti/Desktop/2025 FALL/426 COSC/YOLO_TESTING/bbox-snapshots/frame07455_id23786.png", "frame07455_id23786.png")</f>
        <v/>
      </c>
    </row>
    <row r="1471">
      <c r="A1471" t="n">
        <v>7457</v>
      </c>
      <c r="B1471" t="n">
        <v>23787</v>
      </c>
      <c r="C1471" t="n">
        <v>47175</v>
      </c>
      <c r="D1471" t="n">
        <v>1</v>
      </c>
      <c r="E1471">
        <f>HYPERLINK("file:///C:/Users/anye forti/Desktop/2025 FALL/426 COSC/YOLO_TESTING/bbox-snapshots/frame07457_id23787.png", "frame07457_id23787.png")</f>
        <v/>
      </c>
    </row>
    <row r="1472">
      <c r="A1472" t="n">
        <v>7477</v>
      </c>
      <c r="B1472" t="n">
        <v>23826</v>
      </c>
      <c r="C1472" t="n">
        <v>75048</v>
      </c>
      <c r="D1472" t="n">
        <v>2</v>
      </c>
      <c r="E1472">
        <f>HYPERLINK("file:///C:/Users/anye forti/Desktop/2025 FALL/426 COSC/YOLO_TESTING/bbox-snapshots/frame07477_id23826.png", "frame07477_id23826.png")</f>
        <v/>
      </c>
    </row>
    <row r="1473">
      <c r="A1473" t="n">
        <v>7485</v>
      </c>
      <c r="B1473" t="n">
        <v>23831</v>
      </c>
      <c r="C1473" t="n">
        <v>37200</v>
      </c>
      <c r="D1473" t="n">
        <v>1</v>
      </c>
      <c r="E1473">
        <f>HYPERLINK("file:///C:/Users/anye forti/Desktop/2025 FALL/426 COSC/YOLO_TESTING/bbox-snapshots/frame07485_id23831.png", "frame07485_id23831.png")</f>
        <v/>
      </c>
    </row>
    <row r="1474">
      <c r="A1474" t="n">
        <v>7487</v>
      </c>
      <c r="B1474" t="n">
        <v>23763</v>
      </c>
      <c r="C1474" t="n">
        <v>57757</v>
      </c>
      <c r="D1474" t="n">
        <v>1</v>
      </c>
      <c r="E1474">
        <f>HYPERLINK("file:///C:/Users/anye forti/Desktop/2025 FALL/426 COSC/YOLO_TESTING/bbox-snapshots/frame07487_id23763.png", "frame07487_id23763.png")</f>
        <v/>
      </c>
    </row>
    <row r="1475">
      <c r="A1475" t="n">
        <v>7519</v>
      </c>
      <c r="B1475" t="n">
        <v>23887</v>
      </c>
      <c r="C1475" t="n">
        <v>43979</v>
      </c>
      <c r="D1475" t="n">
        <v>1</v>
      </c>
      <c r="E1475">
        <f>HYPERLINK("file:///C:/Users/anye forti/Desktop/2025 FALL/426 COSC/YOLO_TESTING/bbox-snapshots/frame07519_id23887.png", "frame07519_id23887.png")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main_id</t>
        </is>
      </c>
      <c r="C1" s="1" t="inlineStr">
        <is>
          <t>conjoined_id</t>
        </is>
      </c>
    </row>
    <row r="2">
      <c r="A2" t="n">
        <v>56</v>
      </c>
      <c r="B2" t="n">
        <v>25</v>
      </c>
      <c r="C2" t="n">
        <v>57</v>
      </c>
    </row>
    <row r="3">
      <c r="A3" t="n">
        <v>125</v>
      </c>
      <c r="B3" t="n">
        <v>158</v>
      </c>
      <c r="C3" t="n">
        <v>173</v>
      </c>
    </row>
    <row r="4">
      <c r="A4" t="n">
        <v>173</v>
      </c>
      <c r="B4" t="n">
        <v>292</v>
      </c>
      <c r="C4" t="n">
        <v>255</v>
      </c>
    </row>
    <row r="5">
      <c r="A5" t="n">
        <v>182</v>
      </c>
      <c r="B5" t="n">
        <v>298</v>
      </c>
      <c r="C5" t="n">
        <v>290</v>
      </c>
    </row>
    <row r="6">
      <c r="A6" t="n">
        <v>515</v>
      </c>
      <c r="B6" t="n">
        <v>1001</v>
      </c>
      <c r="C6" t="n">
        <v>1042</v>
      </c>
    </row>
    <row r="7">
      <c r="A7" t="n">
        <v>668</v>
      </c>
      <c r="B7" t="n">
        <v>1585</v>
      </c>
      <c r="C7" t="n">
        <v>1613</v>
      </c>
    </row>
    <row r="8">
      <c r="A8" t="n">
        <v>685</v>
      </c>
      <c r="B8" t="n">
        <v>1641</v>
      </c>
      <c r="C8" t="n">
        <v>1736</v>
      </c>
    </row>
    <row r="9">
      <c r="A9" t="n">
        <v>805</v>
      </c>
      <c r="B9" t="n">
        <v>2019</v>
      </c>
      <c r="C9" t="n">
        <v>2056</v>
      </c>
    </row>
    <row r="10">
      <c r="A10" t="n">
        <v>984</v>
      </c>
      <c r="B10" t="n">
        <v>2532</v>
      </c>
      <c r="C10" t="n">
        <v>2472</v>
      </c>
    </row>
    <row r="11">
      <c r="A11" t="n">
        <v>1073</v>
      </c>
      <c r="B11" t="n">
        <v>2792</v>
      </c>
      <c r="C11" t="n">
        <v>2809</v>
      </c>
    </row>
    <row r="12">
      <c r="A12" t="n">
        <v>1188</v>
      </c>
      <c r="B12" t="n">
        <v>3248</v>
      </c>
      <c r="C12" t="n">
        <v>3222</v>
      </c>
    </row>
    <row r="13">
      <c r="A13" t="n">
        <v>1323</v>
      </c>
      <c r="B13" t="n">
        <v>3653</v>
      </c>
      <c r="C13" t="n">
        <v>3694</v>
      </c>
    </row>
    <row r="14">
      <c r="A14" t="n">
        <v>1352</v>
      </c>
      <c r="B14" t="n">
        <v>3689</v>
      </c>
      <c r="C14" t="n">
        <v>3779</v>
      </c>
    </row>
    <row r="15">
      <c r="A15" t="n">
        <v>1370</v>
      </c>
      <c r="B15" t="n">
        <v>3750</v>
      </c>
      <c r="C15" t="n">
        <v>3828</v>
      </c>
    </row>
    <row r="16">
      <c r="A16" t="n">
        <v>1393</v>
      </c>
      <c r="B16" t="n">
        <v>3871</v>
      </c>
      <c r="C16" t="n">
        <v>3784</v>
      </c>
    </row>
    <row r="17">
      <c r="A17" t="n">
        <v>1558</v>
      </c>
      <c r="B17" t="n">
        <v>4453</v>
      </c>
      <c r="C17" t="n">
        <v>4374</v>
      </c>
    </row>
    <row r="18">
      <c r="A18" t="n">
        <v>1624</v>
      </c>
      <c r="B18" t="n">
        <v>4633</v>
      </c>
      <c r="C18" t="n">
        <v>4591</v>
      </c>
    </row>
    <row r="19">
      <c r="A19" t="n">
        <v>1801</v>
      </c>
      <c r="B19" t="n">
        <v>5322</v>
      </c>
      <c r="C19" t="n">
        <v>5300</v>
      </c>
    </row>
    <row r="20">
      <c r="A20" t="n">
        <v>1842</v>
      </c>
      <c r="B20" t="n">
        <v>5482</v>
      </c>
      <c r="C20" t="n">
        <v>5433</v>
      </c>
    </row>
    <row r="21">
      <c r="A21" t="n">
        <v>2225</v>
      </c>
      <c r="B21" t="n">
        <v>6108</v>
      </c>
      <c r="C21" t="n">
        <v>6017</v>
      </c>
    </row>
    <row r="22">
      <c r="A22" t="n">
        <v>2225</v>
      </c>
      <c r="B22" t="n">
        <v>6108</v>
      </c>
      <c r="C22" t="n">
        <v>6065</v>
      </c>
    </row>
    <row r="23">
      <c r="A23" t="n">
        <v>2263</v>
      </c>
      <c r="B23" t="n">
        <v>6111</v>
      </c>
      <c r="C23" t="n">
        <v>6211</v>
      </c>
    </row>
    <row r="24">
      <c r="A24" t="n">
        <v>2284</v>
      </c>
      <c r="B24" t="n">
        <v>6221</v>
      </c>
      <c r="C24" t="n">
        <v>6196</v>
      </c>
    </row>
    <row r="25">
      <c r="A25" t="n">
        <v>2425</v>
      </c>
      <c r="B25" t="n">
        <v>6792</v>
      </c>
      <c r="C25" t="n">
        <v>6675</v>
      </c>
    </row>
    <row r="26">
      <c r="A26" t="n">
        <v>2496</v>
      </c>
      <c r="B26" t="n">
        <v>6944</v>
      </c>
      <c r="C26" t="n">
        <v>6813</v>
      </c>
    </row>
    <row r="27">
      <c r="A27" t="n">
        <v>2514</v>
      </c>
      <c r="B27" t="n">
        <v>7167</v>
      </c>
      <c r="C27" t="n">
        <v>7041</v>
      </c>
    </row>
    <row r="28">
      <c r="A28" t="n">
        <v>2831</v>
      </c>
      <c r="B28" t="n">
        <v>8175</v>
      </c>
      <c r="C28" t="n">
        <v>8259</v>
      </c>
    </row>
    <row r="29">
      <c r="A29" t="n">
        <v>2842</v>
      </c>
      <c r="B29" t="n">
        <v>8136</v>
      </c>
      <c r="C29" t="n">
        <v>8281</v>
      </c>
    </row>
    <row r="30">
      <c r="A30" t="n">
        <v>3015</v>
      </c>
      <c r="B30" t="n">
        <v>8835</v>
      </c>
      <c r="C30" t="n">
        <v>8764</v>
      </c>
    </row>
    <row r="31">
      <c r="A31" t="n">
        <v>3137</v>
      </c>
      <c r="B31" t="n">
        <v>9303</v>
      </c>
      <c r="C31" t="n">
        <v>9376</v>
      </c>
    </row>
    <row r="32">
      <c r="A32" t="n">
        <v>3186</v>
      </c>
      <c r="B32" t="n">
        <v>9470</v>
      </c>
      <c r="C32" t="n">
        <v>9437</v>
      </c>
    </row>
    <row r="33">
      <c r="A33" t="n">
        <v>3195</v>
      </c>
      <c r="B33" t="n">
        <v>9527</v>
      </c>
      <c r="C33" t="n">
        <v>9604</v>
      </c>
    </row>
    <row r="34">
      <c r="A34" t="n">
        <v>3208</v>
      </c>
      <c r="B34" t="n">
        <v>9530</v>
      </c>
      <c r="C34" t="n">
        <v>9576</v>
      </c>
    </row>
    <row r="35">
      <c r="A35" t="n">
        <v>3214</v>
      </c>
      <c r="B35" t="n">
        <v>9596</v>
      </c>
      <c r="C35" t="n">
        <v>9559</v>
      </c>
    </row>
    <row r="36">
      <c r="A36" t="n">
        <v>3358</v>
      </c>
      <c r="B36" t="n">
        <v>10119</v>
      </c>
      <c r="C36" t="n">
        <v>10042</v>
      </c>
    </row>
    <row r="37">
      <c r="A37" t="n">
        <v>3541</v>
      </c>
      <c r="B37" t="n">
        <v>10689</v>
      </c>
      <c r="C37" t="n">
        <v>10698</v>
      </c>
    </row>
    <row r="38">
      <c r="A38" t="n">
        <v>3572</v>
      </c>
      <c r="B38" t="n">
        <v>10817</v>
      </c>
      <c r="C38" t="n">
        <v>10784</v>
      </c>
    </row>
    <row r="39">
      <c r="A39" t="n">
        <v>3606</v>
      </c>
      <c r="B39" t="n">
        <v>10839</v>
      </c>
      <c r="C39" t="n">
        <v>10891</v>
      </c>
    </row>
    <row r="40">
      <c r="A40" t="n">
        <v>3671</v>
      </c>
      <c r="B40" t="n">
        <v>10961</v>
      </c>
      <c r="C40" t="n">
        <v>10990</v>
      </c>
    </row>
    <row r="41">
      <c r="A41" t="n">
        <v>4091</v>
      </c>
      <c r="B41" t="n">
        <v>12063</v>
      </c>
      <c r="C41" t="n">
        <v>12094</v>
      </c>
    </row>
    <row r="42">
      <c r="A42" t="n">
        <v>4114</v>
      </c>
      <c r="B42" t="n">
        <v>12104</v>
      </c>
      <c r="C42" t="n">
        <v>12230</v>
      </c>
    </row>
    <row r="43">
      <c r="A43" t="n">
        <v>4117</v>
      </c>
      <c r="B43" t="n">
        <v>12236</v>
      </c>
      <c r="C43" t="n">
        <v>12104</v>
      </c>
    </row>
    <row r="44">
      <c r="A44" t="n">
        <v>4131</v>
      </c>
      <c r="B44" t="n">
        <v>12249</v>
      </c>
      <c r="C44" t="n">
        <v>12253</v>
      </c>
    </row>
    <row r="45">
      <c r="A45" t="n">
        <v>4271</v>
      </c>
      <c r="B45" t="n">
        <v>12779</v>
      </c>
      <c r="C45" t="n">
        <v>12693</v>
      </c>
    </row>
    <row r="46">
      <c r="A46" t="n">
        <v>4303</v>
      </c>
      <c r="B46" t="n">
        <v>12813</v>
      </c>
      <c r="C46" t="n">
        <v>12772</v>
      </c>
    </row>
    <row r="47">
      <c r="A47" t="n">
        <v>4445</v>
      </c>
      <c r="B47" t="n">
        <v>13230</v>
      </c>
      <c r="C47" t="n">
        <v>13359</v>
      </c>
    </row>
    <row r="48">
      <c r="A48" t="n">
        <v>4638</v>
      </c>
      <c r="B48" t="n">
        <v>13783</v>
      </c>
      <c r="C48" t="n">
        <v>13807</v>
      </c>
    </row>
    <row r="49">
      <c r="A49" t="n">
        <v>4715</v>
      </c>
      <c r="B49" t="n">
        <v>14061</v>
      </c>
      <c r="C49" t="n">
        <v>14032</v>
      </c>
    </row>
    <row r="50">
      <c r="A50" t="n">
        <v>4727</v>
      </c>
      <c r="B50" t="n">
        <v>14101</v>
      </c>
      <c r="C50" t="n">
        <v>14071</v>
      </c>
    </row>
    <row r="51">
      <c r="A51" t="n">
        <v>4967</v>
      </c>
      <c r="B51" t="n">
        <v>14715</v>
      </c>
      <c r="C51" t="n">
        <v>14711</v>
      </c>
    </row>
    <row r="52">
      <c r="A52" t="n">
        <v>4980</v>
      </c>
      <c r="B52" t="n">
        <v>14745</v>
      </c>
      <c r="C52" t="n">
        <v>14678</v>
      </c>
    </row>
    <row r="53">
      <c r="A53" t="n">
        <v>5219</v>
      </c>
      <c r="B53" t="n">
        <v>15588</v>
      </c>
      <c r="C53" t="n">
        <v>15554</v>
      </c>
    </row>
    <row r="54">
      <c r="A54" t="n">
        <v>5338</v>
      </c>
      <c r="B54" t="n">
        <v>15970</v>
      </c>
      <c r="C54" t="n">
        <v>16037</v>
      </c>
    </row>
    <row r="55">
      <c r="A55" t="n">
        <v>5341</v>
      </c>
      <c r="B55" t="n">
        <v>16012</v>
      </c>
      <c r="C55" t="n">
        <v>15970</v>
      </c>
    </row>
    <row r="56">
      <c r="A56" t="n">
        <v>5380</v>
      </c>
      <c r="B56" t="n">
        <v>16175</v>
      </c>
      <c r="C56" t="n">
        <v>16247</v>
      </c>
    </row>
    <row r="57">
      <c r="A57" t="n">
        <v>5448</v>
      </c>
      <c r="B57" t="n">
        <v>16473</v>
      </c>
      <c r="C57" t="n">
        <v>16462</v>
      </c>
    </row>
    <row r="58">
      <c r="A58" t="n">
        <v>5505</v>
      </c>
      <c r="B58" t="n">
        <v>16540</v>
      </c>
      <c r="C58" t="n">
        <v>16705</v>
      </c>
    </row>
    <row r="59">
      <c r="A59" t="n">
        <v>5607</v>
      </c>
      <c r="B59" t="n">
        <v>17121</v>
      </c>
      <c r="C59" t="n">
        <v>17068</v>
      </c>
    </row>
    <row r="60">
      <c r="A60" t="n">
        <v>5736</v>
      </c>
      <c r="B60" t="n">
        <v>17421</v>
      </c>
      <c r="C60" t="n">
        <v>17464</v>
      </c>
    </row>
    <row r="61">
      <c r="A61" t="n">
        <v>5878</v>
      </c>
      <c r="B61" t="n">
        <v>18037</v>
      </c>
      <c r="C61" t="n">
        <v>18033</v>
      </c>
    </row>
    <row r="62">
      <c r="A62" t="n">
        <v>6131</v>
      </c>
      <c r="B62" t="n">
        <v>18815</v>
      </c>
      <c r="C62" t="n">
        <v>18897</v>
      </c>
    </row>
    <row r="63">
      <c r="A63" t="n">
        <v>6141</v>
      </c>
      <c r="B63" t="n">
        <v>18940</v>
      </c>
      <c r="C63" t="n">
        <v>18897</v>
      </c>
    </row>
    <row r="64">
      <c r="A64" t="n">
        <v>6335</v>
      </c>
      <c r="B64" t="n">
        <v>19526</v>
      </c>
      <c r="C64" t="n">
        <v>19414</v>
      </c>
    </row>
    <row r="65">
      <c r="A65" t="n">
        <v>6480</v>
      </c>
      <c r="B65" t="n">
        <v>20072</v>
      </c>
      <c r="C65" t="n">
        <v>20108</v>
      </c>
    </row>
    <row r="66">
      <c r="A66" t="n">
        <v>6532</v>
      </c>
      <c r="B66" t="n">
        <v>20346</v>
      </c>
      <c r="C66" t="n">
        <v>20255</v>
      </c>
    </row>
    <row r="67">
      <c r="A67" t="n">
        <v>6571</v>
      </c>
      <c r="B67" t="n">
        <v>20553</v>
      </c>
      <c r="C67" t="n">
        <v>20617</v>
      </c>
    </row>
    <row r="68">
      <c r="A68" t="n">
        <v>6672</v>
      </c>
      <c r="B68" t="n">
        <v>20800</v>
      </c>
      <c r="C68" t="n">
        <v>20906</v>
      </c>
    </row>
    <row r="69">
      <c r="A69" t="n">
        <v>6754</v>
      </c>
      <c r="B69" t="n">
        <v>21246</v>
      </c>
      <c r="C69" t="n">
        <v>21278</v>
      </c>
    </row>
    <row r="70">
      <c r="A70" t="n">
        <v>6764</v>
      </c>
      <c r="B70" t="n">
        <v>21046</v>
      </c>
      <c r="C70" t="n">
        <v>21246</v>
      </c>
    </row>
    <row r="71">
      <c r="A71" t="n">
        <v>6809</v>
      </c>
      <c r="B71" t="n">
        <v>21442</v>
      </c>
      <c r="C71" t="n">
        <v>21456</v>
      </c>
    </row>
    <row r="72">
      <c r="A72" t="n">
        <v>7083</v>
      </c>
      <c r="B72" t="n">
        <v>22461</v>
      </c>
      <c r="C72" t="n">
        <v>22555</v>
      </c>
    </row>
    <row r="73">
      <c r="A73" t="n">
        <v>7279</v>
      </c>
      <c r="B73" t="n">
        <v>23230</v>
      </c>
      <c r="C73" t="n">
        <v>23269</v>
      </c>
    </row>
    <row r="74">
      <c r="A74" t="n">
        <v>7366</v>
      </c>
      <c r="B74" t="n">
        <v>23489</v>
      </c>
      <c r="C74" t="n">
        <v>23511</v>
      </c>
    </row>
    <row r="75">
      <c r="A75" t="n">
        <v>7395</v>
      </c>
      <c r="B75" t="n">
        <v>23573</v>
      </c>
      <c r="C75" t="n">
        <v>23620</v>
      </c>
    </row>
    <row r="76">
      <c r="A76" t="n">
        <v>7449</v>
      </c>
      <c r="B76" t="n">
        <v>23810</v>
      </c>
      <c r="C76" t="n">
        <v>23743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2025-11-12T21:17:22Z</dcterms:created>
  <dcterms:modified xmlns:dcterms="http://purl.org/dc/terms/" xmlns:xsi="http://www.w3.org/2001/XMLSchema-instance" xsi:type="dcterms:W3CDTF">2025-11-12T21:17:22Z</dcterms:modified>
</cp:coreProperties>
</file>